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MoD Content Creators - Task Ma"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MM/dd/yyyy"/>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Task name</t>
        </is>
      </c>
      <c r="B1" s="1" t="inlineStr">
        <is>
          <t>Owner</t>
        </is>
      </c>
      <c r="C1" s="1" t="inlineStr">
        <is>
          <t>Created on</t>
        </is>
      </c>
      <c r="D1" s="1" t="inlineStr">
        <is>
          <t>Deadline</t>
        </is>
      </c>
      <c r="E1" s="1" t="inlineStr">
        <is>
          <t>Priority</t>
        </is>
      </c>
      <c r="F1" s="1" t="inlineStr">
        <is>
          <t>ลิงก์</t>
        </is>
      </c>
      <c r="G1" s="1" t="inlineStr">
        <is>
          <t>ไฟล์แนบ</t>
        </is>
      </c>
      <c r="H1" s="1" t="inlineStr">
        <is>
          <t>Content Type</t>
        </is>
      </c>
      <c r="I1" s="1" t="inlineStr">
        <is>
          <t>Work Type</t>
        </is>
      </c>
      <c r="J1" s="1" t="inlineStr">
        <is>
          <t>Status</t>
        </is>
      </c>
      <c r="K1" s="1" t="inlineStr">
        <is>
          <t>รายละเอียด</t>
        </is>
      </c>
      <c r="L1" s="1" t="inlineStr">
        <is>
          <t>ลิงก์ส่งงาน</t>
        </is>
      </c>
      <c r="M1" s="1" t="inlineStr">
        <is>
          <t>Complete</t>
        </is>
      </c>
      <c r="N1" s="1" t="inlineStr">
        <is>
          <t>Content Category</t>
        </is>
      </c>
      <c r="O1" s="1" t="inlineStr">
        <is>
          <t>ลูกค้า</t>
        </is>
      </c>
    </row>
    <row r="2" ht="12.75" customHeight="1">
      <c r="A2" t="inlineStr">
        <is>
          <t>GPT 5.4</t>
        </is>
      </c>
      <c r="B2" t="inlineStr">
        <is>
          <t>Nattida Suriyodara</t>
        </is>
      </c>
      <c r="C2" s="2">
        <v>46087</v>
      </c>
      <c r="D2" s="2">
        <v>46087</v>
      </c>
      <c r="E2"/>
      <c r="F2" s="3"/>
      <c r="G2"/>
      <c r="H2" t="inlineStr">
        <is>
          <t>Website</t>
        </is>
      </c>
      <c r="I2" t="inlineStr">
        <is>
          <t>งานประจำวัน</t>
        </is>
      </c>
      <c r="J2" t="inlineStr">
        <is>
          <t>Done</t>
        </is>
      </c>
      <c r="K2"/>
      <c r="L2" s="3"/>
      <c r="M2"/>
      <c r="N2" t="inlineStr">
        <is>
          <t>AI</t>
        </is>
      </c>
      <c r="O2"/>
    </row>
    <row r="3" ht="12.75" customHeight="1">
      <c r="A3" t="inlineStr">
        <is>
          <t>ภาพพื้นหลัง (Wallpaper) MacBook Neo สำหรับ Mac</t>
        </is>
      </c>
      <c r="B3" t="inlineStr">
        <is>
          <t>Thitirath Kinaret</t>
        </is>
      </c>
      <c r="C3" s="2">
        <v>46086</v>
      </c>
      <c r="D3" s="2">
        <v>46086</v>
      </c>
      <c r="E3"/>
      <c r="F3" s="3"/>
      <c r="G3"/>
      <c r="H3" t="inlineStr">
        <is>
          <t>Website</t>
        </is>
      </c>
      <c r="I3" t="inlineStr">
        <is>
          <t>งานประจำวัน</t>
        </is>
      </c>
      <c r="J3" t="inlineStr">
        <is>
          <t>Done</t>
        </is>
      </c>
      <c r="K3"/>
      <c r="L3" s="3"/>
      <c r="M3"/>
      <c r="N3" t="inlineStr">
        <is>
          <t>Apple</t>
        </is>
      </c>
      <c r="O3"/>
    </row>
    <row r="4" ht="12.75" customHeight="1">
      <c r="A4" t="inlineStr">
        <is>
          <t>หัวเว่ยเปิดตัว HUAWEI WATCH GT Runner 2 สมาร์ทวอทช์ไทเทเนียมเบาที่สุดสำหรับนักวิ่ง
</t>
        </is>
      </c>
      <c r="B4" t="inlineStr">
        <is>
          <t>Thitirath Kinaret</t>
        </is>
      </c>
      <c r="C4" s="2">
        <v>46086</v>
      </c>
      <c r="D4" s="2">
        <v>46086</v>
      </c>
      <c r="E4"/>
      <c r="F4" s="3"/>
      <c r="G4"/>
      <c r="H4" t="inlineStr">
        <is>
          <t>Website</t>
        </is>
      </c>
      <c r="I4" t="inlineStr">
        <is>
          <t>งานลูกค้า</t>
        </is>
      </c>
      <c r="J4" t="inlineStr">
        <is>
          <t>Done</t>
        </is>
      </c>
      <c r="K4"/>
      <c r="L4" s="3"/>
      <c r="M4"/>
      <c r="N4" t="inlineStr">
        <is>
          <t>ลูกค้า, PR</t>
        </is>
      </c>
      <c r="O4" t="inlineStr">
        <is>
          <t>Huawei</t>
        </is>
      </c>
    </row>
    <row r="5" ht="12.75" customHeight="1">
      <c r="A5" t="inlineStr">
        <is>
          <t>MacBook Neo ตัดอะไรไปบ้าง เมื่อเทียบกับ MacBook Air
</t>
        </is>
      </c>
      <c r="B5" t="inlineStr">
        <is>
          <t>Thitirath Kinaret</t>
        </is>
      </c>
      <c r="C5" s="2">
        <v>46086</v>
      </c>
      <c r="D5" s="2">
        <v>46086</v>
      </c>
      <c r="E5"/>
      <c r="F5" s="3"/>
      <c r="G5"/>
      <c r="H5" t="inlineStr">
        <is>
          <t>YouTube, Website</t>
        </is>
      </c>
      <c r="I5" t="inlineStr">
        <is>
          <t>งานประจำวัน</t>
        </is>
      </c>
      <c r="J5" t="inlineStr">
        <is>
          <t>Done</t>
        </is>
      </c>
      <c r="K5"/>
      <c r="L5" s="3"/>
      <c r="M5"/>
      <c r="N5" t="inlineStr">
        <is>
          <t>Apple</t>
        </is>
      </c>
      <c r="O5"/>
    </row>
    <row r="6" ht="12.75" customHeight="1">
      <c r="A6" t="inlineStr">
        <is>
          <t>iOS 26.3.1 มาแล้ว! รองรับ Studio Display ใหม่, แก้ไขปัญหาต่าง ๆ
</t>
        </is>
      </c>
      <c r="B6" t="inlineStr">
        <is>
          <t>Thitirath Kinaret</t>
        </is>
      </c>
      <c r="C6" s="2">
        <v>46086</v>
      </c>
      <c r="D6" s="2">
        <v>46086</v>
      </c>
      <c r="E6"/>
      <c r="F6" s="3"/>
      <c r="G6"/>
      <c r="H6" t="inlineStr">
        <is>
          <t>Pic Posts / Album, Website</t>
        </is>
      </c>
      <c r="I6" t="inlineStr">
        <is>
          <t>งานประจำวัน</t>
        </is>
      </c>
      <c r="J6" t="inlineStr">
        <is>
          <t>Done</t>
        </is>
      </c>
      <c r="K6"/>
      <c r="L6" s="3"/>
      <c r="M6"/>
      <c r="N6" t="inlineStr">
        <is>
          <t>Apple</t>
        </is>
      </c>
      <c r="O6"/>
    </row>
    <row r="7" ht="12.75" customHeight="1">
      <c r="A7" t="inlineStr">
        <is>
          <t>เปิดตัว MacBook Neo ราคา 19,900 บาท! ชิป A18 Pro สีสันสดใส</t>
        </is>
      </c>
      <c r="B7" t="inlineStr">
        <is>
          <t>Thitirath Kinaret</t>
        </is>
      </c>
      <c r="C7" s="2">
        <v>46086</v>
      </c>
      <c r="D7" s="2">
        <v>46086</v>
      </c>
      <c r="E7"/>
      <c r="F7" s="3"/>
      <c r="G7"/>
      <c r="H7" t="inlineStr">
        <is>
          <t>Website, Pic Posts / Album, YouTube</t>
        </is>
      </c>
      <c r="I7" t="inlineStr">
        <is>
          <t>งานประจำวัน</t>
        </is>
      </c>
      <c r="J7" t="inlineStr">
        <is>
          <t>Done</t>
        </is>
      </c>
      <c r="K7"/>
      <c r="L7" s="3"/>
      <c r="M7"/>
      <c r="N7" t="inlineStr">
        <is>
          <t>Apple</t>
        </is>
      </c>
      <c r="O7"/>
    </row>
    <row r="8" ht="12.75" customHeight="1">
      <c r="A8" t="inlineStr">
        <is>
          <t>งานคอมสุดยิ่งใหญ่ BaNANA COMSALE @COMMART ที่ ไบเทค บางนา
ไอเทม GenZ ปี 2026</t>
        </is>
      </c>
      <c r="B8" t="inlineStr">
        <is>
          <t>Thitirath Kinaret</t>
        </is>
      </c>
      <c r="C8" s="2">
        <v>46086</v>
      </c>
      <c r="D8" s="2">
        <v>46086</v>
      </c>
      <c r="E8"/>
      <c r="F8" s="3"/>
      <c r="G8"/>
      <c r="H8" t="inlineStr">
        <is>
          <t>Pic Posts / Album</t>
        </is>
      </c>
      <c r="I8" t="inlineStr">
        <is>
          <t>งานลูกค้า</t>
        </is>
      </c>
      <c r="J8" t="inlineStr">
        <is>
          <t>Done</t>
        </is>
      </c>
      <c r="K8"/>
      <c r="L8" s="3"/>
      <c r="M8"/>
      <c r="N8" t="inlineStr">
        <is>
          <t>ลูกค้า</t>
        </is>
      </c>
      <c r="O8" t="inlineStr">
        <is>
          <t>Studio 7</t>
        </is>
      </c>
    </row>
    <row r="9" ht="12.75" customHeight="1">
      <c r="A9" t="inlineStr">
        <is>
          <t>MacBook Neo สีบลัช ซื้อคู่กับ AirPods Max สีม่วง ใช้ด้วยกันลงตัวสุด ๆ</t>
        </is>
      </c>
      <c r="B9" t="inlineStr">
        <is>
          <t>Thitirath Kinaret</t>
        </is>
      </c>
      <c r="C9" s="2">
        <v>46086</v>
      </c>
      <c r="D9" s="2">
        <v>46086</v>
      </c>
      <c r="E9"/>
      <c r="F9" s="3"/>
      <c r="G9"/>
      <c r="H9" t="inlineStr">
        <is>
          <t>Pic Posts / Album</t>
        </is>
      </c>
      <c r="I9" t="inlineStr">
        <is>
          <t>งานประจำวัน</t>
        </is>
      </c>
      <c r="J9" t="inlineStr">
        <is>
          <t>Done</t>
        </is>
      </c>
      <c r="K9"/>
      <c r="L9" s="3"/>
      <c r="M9"/>
      <c r="N9" t="inlineStr">
        <is>
          <t>Apple</t>
        </is>
      </c>
      <c r="O9"/>
    </row>
    <row r="10" ht="12.75" customHeight="1">
      <c r="A10" t="inlineStr">
        <is>
          <t>ChatGPT 5.3</t>
        </is>
      </c>
      <c r="B10" t="inlineStr">
        <is>
          <t>Nattida Suriyodara</t>
        </is>
      </c>
      <c r="C10" s="2">
        <v>46085</v>
      </c>
      <c r="D10" s="2">
        <v>46085</v>
      </c>
      <c r="E10"/>
      <c r="F10" s="3"/>
      <c r="G10"/>
      <c r="H10" t="inlineStr">
        <is>
          <t>Website, Pic Posts / Album</t>
        </is>
      </c>
      <c r="I10" t="inlineStr">
        <is>
          <t>งานประจำวัน</t>
        </is>
      </c>
      <c r="J10" t="inlineStr">
        <is>
          <t>Done</t>
        </is>
      </c>
      <c r="K10"/>
      <c r="L10" s="3"/>
      <c r="M10"/>
      <c r="N10" t="inlineStr">
        <is>
          <t>AI</t>
        </is>
      </c>
      <c r="O10"/>
    </row>
    <row r="11" ht="12.75" customHeight="1">
      <c r="A11" t="inlineStr">
        <is>
          <t>Apple Watch ไม่แจ้งเตือน ตั้งค่ายังไง?</t>
        </is>
      </c>
      <c r="B11" t="inlineStr">
        <is>
          <t>Nattida Suriyodara</t>
        </is>
      </c>
      <c r="C11" s="2">
        <v>46085</v>
      </c>
      <c r="D11" s="2">
        <v>46085</v>
      </c>
      <c r="E11"/>
      <c r="F11" s="3"/>
      <c r="G11"/>
      <c r="H11" t="inlineStr">
        <is>
          <t>YouTube</t>
        </is>
      </c>
      <c r="I11" t="inlineStr">
        <is>
          <t>งานประจำวัน</t>
        </is>
      </c>
      <c r="J11" t="inlineStr">
        <is>
          <t>Done</t>
        </is>
      </c>
      <c r="K11"/>
      <c r="L11" s="3"/>
      <c r="M11"/>
      <c r="N11" t="inlineStr">
        <is>
          <t>Apple</t>
        </is>
      </c>
      <c r="O11"/>
    </row>
    <row r="12" ht="12.75" customHeight="1">
      <c r="A12" t="inlineStr">
        <is>
          <t xml:space="preserve">Apple Watch ไม่แจ้งเตือนแก้ยังไง? </t>
        </is>
      </c>
      <c r="B12" t="inlineStr">
        <is>
          <t>Nattida Suriyodara</t>
        </is>
      </c>
      <c r="C12" s="2">
        <v>46085</v>
      </c>
      <c r="D12" s="2">
        <v>46085</v>
      </c>
      <c r="E12"/>
      <c r="F12" s="3"/>
      <c r="G12"/>
      <c r="H12" t="inlineStr">
        <is>
          <t>Website</t>
        </is>
      </c>
      <c r="I12" t="inlineStr">
        <is>
          <t>งานประจำวัน</t>
        </is>
      </c>
      <c r="J12" t="inlineStr">
        <is>
          <t>Done</t>
        </is>
      </c>
      <c r="K12"/>
      <c r="L12" s="3"/>
      <c r="M12"/>
      <c r="N12" t="inlineStr">
        <is>
          <t>Apple</t>
        </is>
      </c>
      <c r="O12"/>
    </row>
    <row r="13" ht="12.75" customHeight="1">
      <c r="A13" t="inlineStr">
        <is>
          <t>เปิดตัว iPhone 17e</t>
        </is>
      </c>
      <c r="B13" t="inlineStr">
        <is>
          <t>Thitirath Kinaret</t>
        </is>
      </c>
      <c r="C13" s="2">
        <v>46085</v>
      </c>
      <c r="D13" s="2">
        <v>46085</v>
      </c>
      <c r="E13"/>
      <c r="F13" s="3"/>
      <c r="G13"/>
      <c r="H13" t="inlineStr">
        <is>
          <t>Pic Posts / Album, Website</t>
        </is>
      </c>
      <c r="I13" t="inlineStr">
        <is>
          <t>งานประจำวัน</t>
        </is>
      </c>
      <c r="J13" t="inlineStr">
        <is>
          <t>Done</t>
        </is>
      </c>
      <c r="K13"/>
      <c r="L13" s="3"/>
      <c r="M13"/>
      <c r="N13" t="inlineStr">
        <is>
          <t>Apple</t>
        </is>
      </c>
      <c r="O13"/>
    </row>
    <row r="14" ht="12.75" customHeight="1">
      <c r="A14" t="inlineStr">
        <is>
          <t>เปิดตัว iPad Air M4</t>
        </is>
      </c>
      <c r="B14" t="inlineStr">
        <is>
          <t>Thitirath Kinaret</t>
        </is>
      </c>
      <c r="C14" s="2">
        <v>46085</v>
      </c>
      <c r="D14" s="2">
        <v>46085</v>
      </c>
      <c r="E14"/>
      <c r="F14" s="3"/>
      <c r="G14"/>
      <c r="H14" t="inlineStr">
        <is>
          <t>Pic Posts / Album, Website</t>
        </is>
      </c>
      <c r="I14" t="inlineStr">
        <is>
          <t>งานประจำวัน</t>
        </is>
      </c>
      <c r="J14" t="inlineStr">
        <is>
          <t>Done</t>
        </is>
      </c>
      <c r="K14"/>
      <c r="L14" s="3"/>
      <c r="M14"/>
      <c r="N14" t="inlineStr">
        <is>
          <t>Apple</t>
        </is>
      </c>
      <c r="O14"/>
    </row>
    <row r="15" ht="12.75" customHeight="1">
      <c r="A15" t="inlineStr">
        <is>
          <t>เปิดตัว MacBook Air M5</t>
        </is>
      </c>
      <c r="B15" t="inlineStr">
        <is>
          <t>Thitirath Kinaret</t>
        </is>
      </c>
      <c r="C15" s="2">
        <v>46085</v>
      </c>
      <c r="D15" s="2">
        <v>46085</v>
      </c>
      <c r="E15"/>
      <c r="F15" s="3"/>
      <c r="G15"/>
      <c r="H15" t="inlineStr">
        <is>
          <t>Pic Posts / Album, Website</t>
        </is>
      </c>
      <c r="I15" t="inlineStr">
        <is>
          <t>งานประจำวัน</t>
        </is>
      </c>
      <c r="J15" t="inlineStr">
        <is>
          <t>Done</t>
        </is>
      </c>
      <c r="K15"/>
      <c r="L15" s="3"/>
      <c r="M15"/>
      <c r="N15" t="inlineStr">
        <is>
          <t>Apple</t>
        </is>
      </c>
      <c r="O15"/>
    </row>
    <row r="16" ht="12.75" customHeight="1">
      <c r="A16" t="inlineStr">
        <is>
          <t>เปิดตัว MacBook Pro M5 Pro, M5 Max</t>
        </is>
      </c>
      <c r="B16" t="inlineStr">
        <is>
          <t>Thitirath Kinaret</t>
        </is>
      </c>
      <c r="C16" s="2">
        <v>46085</v>
      </c>
      <c r="D16" s="2">
        <v>46085</v>
      </c>
      <c r="E16"/>
      <c r="F16" s="3"/>
      <c r="G16"/>
      <c r="H16" t="inlineStr">
        <is>
          <t>Pic Posts / Album, Website</t>
        </is>
      </c>
      <c r="I16" t="inlineStr">
        <is>
          <t>งานประจำวัน</t>
        </is>
      </c>
      <c r="J16" t="inlineStr">
        <is>
          <t>Done</t>
        </is>
      </c>
      <c r="K16"/>
      <c r="L16" s="3"/>
      <c r="M16"/>
      <c r="N16" t="inlineStr">
        <is>
          <t>Apple</t>
        </is>
      </c>
      <c r="O16"/>
    </row>
    <row r="17" ht="12.75" customHeight="1">
      <c r="A17" t="inlineStr">
        <is>
          <t>เปิดตัวจอ Studio Display ใหม่
</t>
        </is>
      </c>
      <c r="B17" t="inlineStr">
        <is>
          <t>Thitirath Kinaret</t>
        </is>
      </c>
      <c r="C17" s="2">
        <v>46085</v>
      </c>
      <c r="D17" s="2">
        <v>46085</v>
      </c>
      <c r="E17"/>
      <c r="F17" s="3"/>
      <c r="G17"/>
      <c r="H17" t="inlineStr">
        <is>
          <t>Pic Posts / Album, Website</t>
        </is>
      </c>
      <c r="I17" t="inlineStr">
        <is>
          <t>งานประจำวัน</t>
        </is>
      </c>
      <c r="J17" t="inlineStr">
        <is>
          <t>Done</t>
        </is>
      </c>
      <c r="K17"/>
      <c r="L17" s="3"/>
      <c r="M17"/>
      <c r="N17" t="inlineStr">
        <is>
          <t>Apple</t>
        </is>
      </c>
      <c r="O17"/>
    </row>
    <row r="18" ht="12.75" customHeight="1">
      <c r="A18" t="inlineStr">
        <is>
          <t>Apple เผลอเปิดเผยชื่อ MacBook Neo ก่อนเปิดตัว
</t>
        </is>
      </c>
      <c r="B18" t="inlineStr">
        <is>
          <t>Thitirath Kinaret</t>
        </is>
      </c>
      <c r="C18" s="2">
        <v>46085</v>
      </c>
      <c r="D18" s="2">
        <v>46085</v>
      </c>
      <c r="E18"/>
      <c r="F18" s="3"/>
      <c r="G18"/>
      <c r="H18" t="inlineStr">
        <is>
          <t>Pic Posts / Album, Website</t>
        </is>
      </c>
      <c r="I18" t="inlineStr">
        <is>
          <t>งานประจำวัน</t>
        </is>
      </c>
      <c r="J18" t="inlineStr">
        <is>
          <t>Done</t>
        </is>
      </c>
      <c r="K18"/>
      <c r="L18" s="3"/>
      <c r="M18"/>
      <c r="N18" t="inlineStr">
        <is>
          <t>Apple</t>
        </is>
      </c>
      <c r="O18"/>
    </row>
    <row r="19" ht="12.75" customHeight="1">
      <c r="A19" t="inlineStr">
        <is>
          <t>Apple เตรียมปล่อยอัปเดต iOS 26.3.1, iPadOS, macOS ใหม่เร็ว ๆ นี้ เพื่อให้รองรับผลิตภัณฑ์ใหม่
</t>
        </is>
      </c>
      <c r="B19" t="inlineStr">
        <is>
          <t>Thitirath Kinaret</t>
        </is>
      </c>
      <c r="C19" s="2">
        <v>46085</v>
      </c>
      <c r="D19" s="2">
        <v>46085</v>
      </c>
      <c r="E19"/>
      <c r="F19" s="3"/>
      <c r="G19"/>
      <c r="H19" t="inlineStr">
        <is>
          <t>Pic Posts / Album, Website</t>
        </is>
      </c>
      <c r="I19" t="inlineStr">
        <is>
          <t>งานประจำวัน</t>
        </is>
      </c>
      <c r="J19" t="inlineStr">
        <is>
          <t>Done</t>
        </is>
      </c>
      <c r="K19"/>
      <c r="L19" s="3"/>
      <c r="M19"/>
      <c r="N19" t="inlineStr">
        <is>
          <t>Apple</t>
        </is>
      </c>
      <c r="O19"/>
    </row>
    <row r="20" ht="12.75" customHeight="1">
      <c r="A20" t="inlineStr">
        <is>
          <t>ภาพพื้นหลัง (Wallpaper) iPhone 17e สำหรับ iPhone
</t>
        </is>
      </c>
      <c r="B20" t="inlineStr">
        <is>
          <t>Thitirath Kinaret</t>
        </is>
      </c>
      <c r="C20" s="2">
        <v>46085</v>
      </c>
      <c r="D20" s="2">
        <v>46085</v>
      </c>
      <c r="E20"/>
      <c r="F20" s="3"/>
      <c r="G20"/>
      <c r="H20" t="inlineStr">
        <is>
          <t>Website</t>
        </is>
      </c>
      <c r="I20" t="inlineStr">
        <is>
          <t>งานประจำวัน</t>
        </is>
      </c>
      <c r="J20" t="inlineStr">
        <is>
          <t>Done</t>
        </is>
      </c>
      <c r="K20"/>
      <c r="L20" s="3"/>
      <c r="M20"/>
      <c r="N20" t="inlineStr">
        <is>
          <t>Apple</t>
        </is>
      </c>
      <c r="O20"/>
    </row>
    <row r="21" ht="12.75" customHeight="1">
      <c r="A21" t="inlineStr">
        <is>
          <t>รายละเอียดเล็กน้อยที่ควรทราบ เกี่ยวกับ iPhone 17e
</t>
        </is>
      </c>
      <c r="B21" t="inlineStr">
        <is>
          <t>Thitirath Kinaret</t>
        </is>
      </c>
      <c r="C21" s="2">
        <v>46085</v>
      </c>
      <c r="D21" s="2">
        <v>46085</v>
      </c>
      <c r="E21"/>
      <c r="F21" s="3"/>
      <c r="G21"/>
      <c r="H21" t="inlineStr">
        <is>
          <t>Website</t>
        </is>
      </c>
      <c r="I21" t="inlineStr">
        <is>
          <t>งานประจำวัน</t>
        </is>
      </c>
      <c r="J21" t="inlineStr">
        <is>
          <t>Done</t>
        </is>
      </c>
      <c r="K21"/>
      <c r="L21" s="3"/>
      <c r="M21"/>
      <c r="N21" t="inlineStr">
        <is>
          <t>Apple</t>
        </is>
      </c>
      <c r="O21"/>
    </row>
    <row r="22" ht="12.75" customHeight="1">
      <c r="A22" t="inlineStr">
        <is>
          <t>เปรียบเทียบ iPhone 17e vs iPhone 16e
</t>
        </is>
      </c>
      <c r="B22" t="inlineStr">
        <is>
          <t>Thitirath Kinaret</t>
        </is>
      </c>
      <c r="C22" s="2">
        <v>46085</v>
      </c>
      <c r="D22" s="2">
        <v>46085</v>
      </c>
      <c r="E22"/>
      <c r="F22" s="3"/>
      <c r="G22"/>
      <c r="H22" t="inlineStr">
        <is>
          <t>Pic Posts / Album</t>
        </is>
      </c>
      <c r="I22" t="inlineStr">
        <is>
          <t>งานประจำวัน</t>
        </is>
      </c>
      <c r="J22" t="inlineStr">
        <is>
          <t>Done</t>
        </is>
      </c>
      <c r="K22"/>
      <c r="L22" s="3"/>
      <c r="M22"/>
      <c r="N22" t="inlineStr">
        <is>
          <t>Apple</t>
        </is>
      </c>
      <c r="O22"/>
    </row>
    <row r="23" ht="12.75" customHeight="1">
      <c r="A23" t="inlineStr">
        <is>
          <t>เปรียบเทียบ iPhone 17e vs iPhone 17
</t>
        </is>
      </c>
      <c r="B23" t="inlineStr">
        <is>
          <t>Thitirath Kinaret</t>
        </is>
      </c>
      <c r="C23" s="2">
        <v>46085</v>
      </c>
      <c r="D23" s="2">
        <v>46085</v>
      </c>
      <c r="E23"/>
      <c r="F23" s="3"/>
      <c r="G23"/>
      <c r="H23" t="inlineStr">
        <is>
          <t>Pic Posts / Album</t>
        </is>
      </c>
      <c r="I23" t="inlineStr">
        <is>
          <t>งานประจำวัน</t>
        </is>
      </c>
      <c r="J23" t="inlineStr">
        <is>
          <t>Done</t>
        </is>
      </c>
      <c r="K23"/>
      <c r="L23" s="3"/>
      <c r="M23"/>
      <c r="N23" t="inlineStr">
        <is>
          <t>Apple</t>
        </is>
      </c>
      <c r="O23"/>
    </row>
    <row r="24" ht="12.75" customHeight="1">
      <c r="A24" t="inlineStr">
        <is>
          <t>สินค้า Apple ความจุเพิ่มขึ้น 2 เท่า
</t>
        </is>
      </c>
      <c r="B24" t="inlineStr">
        <is>
          <t>Thitirath Kinaret</t>
        </is>
      </c>
      <c r="C24" s="2">
        <v>46085</v>
      </c>
      <c r="D24" s="2">
        <v>46085</v>
      </c>
      <c r="E24"/>
      <c r="F24" s="3"/>
      <c r="G24"/>
      <c r="H24" t="inlineStr">
        <is>
          <t>Pic Posts / Album</t>
        </is>
      </c>
      <c r="I24" t="inlineStr">
        <is>
          <t>งานประจำวัน</t>
        </is>
      </c>
      <c r="J24" t="inlineStr">
        <is>
          <t>Done</t>
        </is>
      </c>
      <c r="K24"/>
      <c r="L24" s="3"/>
      <c r="M24"/>
      <c r="N24" t="inlineStr">
        <is>
          <t>Apple</t>
        </is>
      </c>
      <c r="O24"/>
    </row>
    <row r="25" ht="12.75" customHeight="1">
      <c r="A25" t="inlineStr">
        <is>
          <t>สรุปเปิดตัว iPhone 17e
</t>
        </is>
      </c>
      <c r="B25" t="inlineStr">
        <is>
          <t>Thitirath Kinaret</t>
        </is>
      </c>
      <c r="C25" s="2">
        <v>46085</v>
      </c>
      <c r="D25" s="2">
        <v>46085</v>
      </c>
      <c r="E25"/>
      <c r="F25" s="3"/>
      <c r="G25"/>
      <c r="H25" t="inlineStr">
        <is>
          <t>YouTube</t>
        </is>
      </c>
      <c r="I25" t="inlineStr">
        <is>
          <t>งานประจำวัน</t>
        </is>
      </c>
      <c r="J25" t="inlineStr">
        <is>
          <t>Done</t>
        </is>
      </c>
      <c r="K25"/>
      <c r="L25" s="3"/>
      <c r="M25"/>
      <c r="N25" t="inlineStr">
        <is>
          <t>Apple</t>
        </is>
      </c>
      <c r="O25"/>
    </row>
    <row r="26" ht="12.75" customHeight="1">
      <c r="A26" t="inlineStr">
        <is>
          <t>สรุปเปิดตัว iPad Air M4
</t>
        </is>
      </c>
      <c r="B26" t="inlineStr">
        <is>
          <t>Thitirath Kinaret</t>
        </is>
      </c>
      <c r="C26" s="2">
        <v>46085</v>
      </c>
      <c r="D26" s="2">
        <v>46085</v>
      </c>
      <c r="E26"/>
      <c r="F26" s="3"/>
      <c r="G26"/>
      <c r="H26" t="inlineStr">
        <is>
          <t>YouTube</t>
        </is>
      </c>
      <c r="I26" t="inlineStr">
        <is>
          <t>งานประจำวัน</t>
        </is>
      </c>
      <c r="J26" t="inlineStr">
        <is>
          <t>Done</t>
        </is>
      </c>
      <c r="K26"/>
      <c r="L26" s="3"/>
      <c r="M26"/>
      <c r="N26" t="inlineStr">
        <is>
          <t>Apple</t>
        </is>
      </c>
      <c r="O26"/>
    </row>
    <row r="27" ht="12.75" customHeight="1">
      <c r="A27" t="inlineStr">
        <is>
          <t>สรุปเปิดตัว MacBook Air M5, MacBook Proใหม่ และอื่น ๆ
</t>
        </is>
      </c>
      <c r="B27" t="inlineStr">
        <is>
          <t>Thitirath Kinaret</t>
        </is>
      </c>
      <c r="C27" s="2">
        <v>46085</v>
      </c>
      <c r="D27" s="2">
        <v>46085</v>
      </c>
      <c r="E27"/>
      <c r="F27" s="3"/>
      <c r="G27"/>
      <c r="H27" t="inlineStr">
        <is>
          <t>YouTube</t>
        </is>
      </c>
      <c r="I27" t="inlineStr">
        <is>
          <t>งานประจำวัน</t>
        </is>
      </c>
      <c r="J27" t="inlineStr">
        <is>
          <t>Done</t>
        </is>
      </c>
      <c r="K27"/>
      <c r="L27" s="3"/>
      <c r="M27"/>
      <c r="N27" t="inlineStr">
        <is>
          <t>Apple</t>
        </is>
      </c>
      <c r="O27"/>
    </row>
    <row r="28" ht="12.75" customHeight="1">
      <c r="A28" t="inlineStr">
        <is>
          <t>คลิปป้ายยา iPhone 16</t>
        </is>
      </c>
      <c r="B28" t="inlineStr">
        <is>
          <t>Nattida Suriyodara</t>
        </is>
      </c>
      <c r="C28" s="2">
        <v>46083</v>
      </c>
      <c r="D28" s="2">
        <v>46083</v>
      </c>
      <c r="E28"/>
      <c r="F28" s="3"/>
      <c r="G28"/>
      <c r="H28" t="inlineStr">
        <is>
          <t>Shorts</t>
        </is>
      </c>
      <c r="I28" t="inlineStr">
        <is>
          <t>งานประจำวัน</t>
        </is>
      </c>
      <c r="J28" t="inlineStr">
        <is>
          <t>Done</t>
        </is>
      </c>
      <c r="K28"/>
      <c r="L28" s="3"/>
      <c r="M28"/>
      <c r="N28" t="inlineStr">
        <is>
          <t>Apple</t>
        </is>
      </c>
      <c r="O28"/>
    </row>
    <row r="29" ht="12.75" customHeight="1">
      <c r="A29" t="inlineStr">
        <is>
          <t>Claude ขึ้นอันดับ 1 แอปยอดนิยมใน App Store สหรัฐฯ หลังผู้ใช้แห่สนับสนุน Anthropic</t>
        </is>
      </c>
      <c r="B29" t="inlineStr">
        <is>
          <t>Thitirath Kinaret</t>
        </is>
      </c>
      <c r="C29" s="2">
        <v>46083</v>
      </c>
      <c r="D29" s="2">
        <v>46083</v>
      </c>
      <c r="E29"/>
      <c r="F29" s="3"/>
      <c r="G29"/>
      <c r="H29" t="inlineStr">
        <is>
          <t>Pic Posts / Album, Website</t>
        </is>
      </c>
      <c r="I29" t="inlineStr">
        <is>
          <t>งานประจำวัน</t>
        </is>
      </c>
      <c r="J29" t="inlineStr">
        <is>
          <t>Done</t>
        </is>
      </c>
      <c r="K29"/>
      <c r="L29" s="3"/>
      <c r="M29"/>
      <c r="N29" t="inlineStr">
        <is>
          <t>AI</t>
        </is>
      </c>
      <c r="O29"/>
    </row>
    <row r="30" ht="12.75" customHeight="1">
      <c r="A30" t="inlineStr">
        <is>
          <t>Honor เปิดตัวหุ่นยนต์ฮิวแมนนอยด์ ในงาน MWC 2026 เดินมูนวอล์ค และตีลังกาได้
</t>
        </is>
      </c>
      <c r="B30" t="inlineStr">
        <is>
          <t>Thitirath Kinaret</t>
        </is>
      </c>
      <c r="C30" s="2">
        <v>46083</v>
      </c>
      <c r="D30" s="2">
        <v>46083</v>
      </c>
      <c r="E30"/>
      <c r="F30" s="3"/>
      <c r="G30"/>
      <c r="H30" t="inlineStr">
        <is>
          <t>Pic Posts / Album, Website</t>
        </is>
      </c>
      <c r="I30" t="inlineStr">
        <is>
          <t>งานประจำวัน</t>
        </is>
      </c>
      <c r="J30" t="inlineStr">
        <is>
          <t>Done</t>
        </is>
      </c>
      <c r="K30"/>
      <c r="L30" s="3"/>
      <c r="M30"/>
      <c r="N30" t="inlineStr">
        <is>
          <t>Android, AI</t>
        </is>
      </c>
      <c r="O30"/>
    </row>
    <row r="31" ht="12.75" customHeight="1">
      <c r="A31" t="inlineStr">
        <is>
          <t>เปิดตัว Honor MagicPad 4 แท็บเล็ตที่บางกว่า iPad Pro
</t>
        </is>
      </c>
      <c r="B31" t="inlineStr">
        <is>
          <t>Thitirath Kinaret</t>
        </is>
      </c>
      <c r="C31" s="2">
        <v>46083</v>
      </c>
      <c r="D31" s="2">
        <v>46083</v>
      </c>
      <c r="E31"/>
      <c r="F31" s="3"/>
      <c r="G31"/>
      <c r="H31" t="inlineStr">
        <is>
          <t>Pic Posts / Album, Website</t>
        </is>
      </c>
      <c r="I31" t="inlineStr">
        <is>
          <t>งานประจำวัน</t>
        </is>
      </c>
      <c r="J31" t="inlineStr">
        <is>
          <t>Done</t>
        </is>
      </c>
      <c r="K31"/>
      <c r="L31" s="3"/>
      <c r="M31"/>
      <c r="N31" t="inlineStr">
        <is>
          <t>Android</t>
        </is>
      </c>
      <c r="O31"/>
    </row>
    <row r="32" ht="12.75" customHeight="1">
      <c r="A32" t="inlineStr">
        <is>
          <t>วัยรุ่น Gen Z จุดกระแส iPod กลับมาเป็นที่นิยมอีกครั้ง
</t>
        </is>
      </c>
      <c r="B32" t="inlineStr">
        <is>
          <t>Thitirath Kinaret</t>
        </is>
      </c>
      <c r="C32" s="2">
        <v>46083</v>
      </c>
      <c r="D32" s="2">
        <v>46083</v>
      </c>
      <c r="E32"/>
      <c r="F32" s="3"/>
      <c r="G32"/>
      <c r="H32" t="inlineStr">
        <is>
          <t>Pic Posts / Album, Website</t>
        </is>
      </c>
      <c r="I32" t="inlineStr">
        <is>
          <t>งานประจำวัน</t>
        </is>
      </c>
      <c r="J32" t="inlineStr">
        <is>
          <t>Done</t>
        </is>
      </c>
      <c r="K32"/>
      <c r="L32" s="3"/>
      <c r="M32"/>
      <c r="N32" t="inlineStr">
        <is>
          <t>Apple</t>
        </is>
      </c>
      <c r="O32"/>
    </row>
    <row r="33" ht="12.75" customHeight="1">
      <c r="A33" t="inlineStr">
        <is>
          <t>รายงานชี้ สหรัฐฯ ใช้ Claude AI ของ Anthropic ในการโจมตีอิหร่าน แม้ประกาศแบนไปแล้ว
</t>
        </is>
      </c>
      <c r="B33" t="inlineStr">
        <is>
          <t>Thitirath Kinaret</t>
        </is>
      </c>
      <c r="C33" s="2">
        <v>46083</v>
      </c>
      <c r="D33" s="2">
        <v>46083</v>
      </c>
      <c r="E33"/>
      <c r="F33" s="3"/>
      <c r="G33"/>
      <c r="H33" t="inlineStr">
        <is>
          <t>Website, Pic Posts / Album</t>
        </is>
      </c>
      <c r="I33" t="inlineStr">
        <is>
          <t>งานประจำวัน</t>
        </is>
      </c>
      <c r="J33" t="inlineStr">
        <is>
          <t>Done</t>
        </is>
      </c>
      <c r="K33"/>
      <c r="L33" s="3"/>
      <c r="M33"/>
      <c r="N33" t="inlineStr">
        <is>
          <t>AI</t>
        </is>
      </c>
      <c r="O33"/>
    </row>
    <row r="34" ht="12.75" customHeight="1">
      <c r="A34" t="inlineStr">
        <is>
          <t>ราคาไทย Xiaomi 17 Series
</t>
        </is>
      </c>
      <c r="B34" t="inlineStr">
        <is>
          <t>Thitirath Kinaret</t>
        </is>
      </c>
      <c r="C34" s="2">
        <v>46083</v>
      </c>
      <c r="D34" s="2">
        <v>46083</v>
      </c>
      <c r="E34"/>
      <c r="F34" s="3"/>
      <c r="G34"/>
      <c r="H34" t="inlineStr">
        <is>
          <t>Pic Posts / Album</t>
        </is>
      </c>
      <c r="I34" t="inlineStr">
        <is>
          <t>งานประจำวัน</t>
        </is>
      </c>
      <c r="J34" t="inlineStr">
        <is>
          <t>Done</t>
        </is>
      </c>
      <c r="K34"/>
      <c r="L34" s="3"/>
      <c r="M34"/>
      <c r="N34" t="inlineStr">
        <is>
          <t>Android</t>
        </is>
      </c>
      <c r="O34"/>
    </row>
    <row r="35" ht="12.75" customHeight="1">
      <c r="A35" t="inlineStr">
        <is>
          <t>วิธีเพิ่มปุ่ม Restart เครื่อง iPhone ไว้ที่หน้าจอโฮม หน้าจอล็อก</t>
        </is>
      </c>
      <c r="B35" t="inlineStr">
        <is>
          <t>Thitirath Kinaret</t>
        </is>
      </c>
      <c r="C35" s="2">
        <v>46083</v>
      </c>
      <c r="D35" s="2">
        <v>46083</v>
      </c>
      <c r="E35"/>
      <c r="F35" s="3"/>
      <c r="G35"/>
      <c r="H35" t="inlineStr">
        <is>
          <t>YouTube</t>
        </is>
      </c>
      <c r="I35" t="inlineStr">
        <is>
          <t>งานประจำวัน</t>
        </is>
      </c>
      <c r="J35" t="inlineStr">
        <is>
          <t>Done</t>
        </is>
      </c>
      <c r="K35"/>
      <c r="L35" s="3"/>
      <c r="M35"/>
      <c r="N35" t="inlineStr">
        <is>
          <t>Apple</t>
        </is>
      </c>
      <c r="O35"/>
    </row>
    <row r="36" ht="12.75" customHeight="1">
      <c r="A36" t="inlineStr">
        <is>
          <t>ซื้อ Powerbank ต้องที่ AUKEY มี CCC ชาร์จเร็ว ปลอดภัย ไม่โดนยึด!
</t>
        </is>
      </c>
      <c r="B36" t="inlineStr">
        <is>
          <t>Thitirath Kinaret</t>
        </is>
      </c>
      <c r="C36" s="2">
        <v>46083</v>
      </c>
      <c r="D36" s="2">
        <v>46083</v>
      </c>
      <c r="E36"/>
      <c r="F36" s="3"/>
      <c r="G36"/>
      <c r="H36" t="inlineStr">
        <is>
          <t>YouTube</t>
        </is>
      </c>
      <c r="I36" t="inlineStr">
        <is>
          <t>งานลูกค้า</t>
        </is>
      </c>
      <c r="J36" t="inlineStr">
        <is>
          <t>Done</t>
        </is>
      </c>
      <c r="K36"/>
      <c r="L36" s="3"/>
      <c r="M36"/>
      <c r="N36" t="inlineStr">
        <is>
          <t>Tech</t>
        </is>
      </c>
      <c r="O36" t="inlineStr">
        <is>
          <t>Aukey</t>
        </is>
      </c>
    </row>
    <row r="37" ht="12.75" customHeight="1">
      <c r="A37" t="inlineStr">
        <is>
          <t>เปิดตัว Nano Banana 2</t>
        </is>
      </c>
      <c r="B37" t="inlineStr">
        <is>
          <t>Nattida Suriyodara</t>
        </is>
      </c>
      <c r="C37" s="2">
        <v>46080</v>
      </c>
      <c r="D37" s="2">
        <v>46080</v>
      </c>
      <c r="E37"/>
      <c r="F37" s="3"/>
      <c r="G37"/>
      <c r="H37" t="inlineStr">
        <is>
          <t>Website, Pic Posts / Album</t>
        </is>
      </c>
      <c r="I37" t="inlineStr">
        <is>
          <t>งานประจำวัน</t>
        </is>
      </c>
      <c r="J37" t="inlineStr">
        <is>
          <t>Done</t>
        </is>
      </c>
      <c r="K37"/>
      <c r="L37" s="3"/>
      <c r="M37"/>
      <c r="N37" t="inlineStr">
        <is>
          <t>AI</t>
        </is>
      </c>
      <c r="O37"/>
    </row>
    <row r="38" ht="12.75" customHeight="1">
      <c r="A38" t="inlineStr">
        <is>
          <t>Apple ขยายการผลิตที่โรงงาน Houston เพื่อผลิต Mac mini ในสหรัฐฯ ครั้งแรกในปลายปี 2026 นี้</t>
        </is>
      </c>
      <c r="B38" t="inlineStr">
        <is>
          <t>Sasithakan Sritonthip</t>
        </is>
      </c>
      <c r="C38" s="2">
        <v>46080</v>
      </c>
      <c r="D38" s="2">
        <v>46080</v>
      </c>
      <c r="E38" t="inlineStr">
        <is>
          <t>ปกติ</t>
        </is>
      </c>
      <c r="F38" s="3" t="str">
        <f>=HYPERLINK("https://www.apple.com/newsroom/2026/02/apple-accelerates-us-manufacturing-with-mac-mini-production/", "https://www.apple.com/newsroom/2026/02/apple-accelerates-us-manufacturing-with-mac-mini-production/")</f>
        <v>https://www.apple.com/newsroom/2026/02/apple-accelerates-us-manufacturing-with-mac-mini-production/</v>
      </c>
      <c r="G38"/>
      <c r="H38" t="inlineStr">
        <is>
          <t>Website</t>
        </is>
      </c>
      <c r="I38" t="inlineStr">
        <is>
          <t>งานประจำวัน</t>
        </is>
      </c>
      <c r="J38" t="inlineStr">
        <is>
          <t>Done</t>
        </is>
      </c>
      <c r="K38"/>
      <c r="L38" s="3" t="str">
        <f>=HYPERLINK("https://www.iphonemod.net/apple-accelerates-us-manufacturing-mac-mini-houston.html", "https://www.iphonemod.net/apple-accelerates-us-manufacturing-mac-mini-houston.html")</f>
        <v>https://www.iphonemod.net/apple-accelerates-us-manufacturing-mac-mini-houston.html</v>
      </c>
      <c r="M38" t="inlineStr">
        <is>
          <t>1</t>
        </is>
      </c>
      <c r="N38" t="inlineStr">
        <is>
          <t>Apple</t>
        </is>
      </c>
      <c r="O38"/>
    </row>
    <row r="39" ht="12.75" customHeight="1">
      <c r="A39" t="inlineStr">
        <is>
          <t>Google Messages เพิ่มฟีเจอร์แชร์ตำแหน่งแบบ real-time ผ่าน Find Hub</t>
        </is>
      </c>
      <c r="B39" t="inlineStr">
        <is>
          <t>Sasithakan Sritonthip</t>
        </is>
      </c>
      <c r="C39" s="2">
        <v>46080</v>
      </c>
      <c r="D39" s="2">
        <v>46080</v>
      </c>
      <c r="E39"/>
      <c r="F39" s="3" t="str">
        <f>=HYPERLINK("https://9to5google.com/2026/02/26/google-messages-real-time-location/", "https://9to5google.com/2026/02/26/google-messages-real-time-location/")</f>
        <v>https://9to5google.com/2026/02/26/google-messages-real-time-location/</v>
      </c>
      <c r="G39"/>
      <c r="H39" t="inlineStr">
        <is>
          <t>Website</t>
        </is>
      </c>
      <c r="I39" t="inlineStr">
        <is>
          <t>งานประจำวัน</t>
        </is>
      </c>
      <c r="J39" t="inlineStr">
        <is>
          <t>Done</t>
        </is>
      </c>
      <c r="K39"/>
      <c r="L39" s="3" t="str">
        <f>=HYPERLINK("https://www.iphonemod.net/google-messages-real-time-location-sharing.html", "https://www.iphonemod.net/google-messages-real-time-location-sharing.html")</f>
        <v>https://www.iphonemod.net/google-messages-real-time-location-sharing.html</v>
      </c>
      <c r="M39" t="inlineStr">
        <is>
          <t>1</t>
        </is>
      </c>
      <c r="N39" t="inlineStr">
        <is>
          <t>Android</t>
        </is>
      </c>
      <c r="O39"/>
    </row>
    <row r="40" ht="12.75" customHeight="1">
      <c r="A40" t="inlineStr">
        <is>
          <t>Apple ขอให้ศาลยกฟ้องคดี Siri AI และ Epic Games ที่กล่าวหาหลอกลวงนักลงทุน</t>
        </is>
      </c>
      <c r="B40" t="inlineStr">
        <is>
          <t>Sasithakan Sritonthip</t>
        </is>
      </c>
      <c r="C40" s="2">
        <v>46080</v>
      </c>
      <c r="D40" s="2">
        <v>46080</v>
      </c>
      <c r="E40" t="inlineStr">
        <is>
          <t>ปกติ</t>
        </is>
      </c>
      <c r="F40" s="3" t="str">
        <f>=HYPERLINK("https://9to5mac.com/2026/02/26/apple-asks-court-to-dismiss-proposed-class-action-over-siri-ai-fraud-claims/", "https://9to5mac.com/2026/02/26/apple-asks-court-to-dismiss-proposed-class-action-over-siri-ai-fraud-claims/")</f>
        <v>https://9to5mac.com/2026/02/26/apple-asks-court-to-dismiss-proposed-class-action-over-siri-ai-fraud-claims/</v>
      </c>
      <c r="G40"/>
      <c r="H40" t="inlineStr">
        <is>
          <t>Website</t>
        </is>
      </c>
      <c r="I40" t="inlineStr">
        <is>
          <t>งานประจำวัน</t>
        </is>
      </c>
      <c r="J40" t="inlineStr">
        <is>
          <t>Done</t>
        </is>
      </c>
      <c r="K40"/>
      <c r="L40" s="3"/>
      <c r="M40" t="inlineStr">
        <is>
          <t>1</t>
        </is>
      </c>
      <c r="N40" t="inlineStr">
        <is>
          <t>Apple, AI</t>
        </is>
      </c>
      <c r="O40"/>
    </row>
    <row r="41" ht="12.75" customHeight="1">
      <c r="A41" t="inlineStr">
        <is>
          <t>Apple ปล่อยอัปเดต Xcode เวอร์ชัน 26.3 แล้ว รองรับ agentic coding ด้วย Claude Agent และ Codex</t>
        </is>
      </c>
      <c r="B41" t="inlineStr">
        <is>
          <t>Sasithakan Sritonthip</t>
        </is>
      </c>
      <c r="C41" s="2">
        <v>46080</v>
      </c>
      <c r="D41" s="2">
        <v>46080</v>
      </c>
      <c r="E41" t="inlineStr">
        <is>
          <t>ปกติ</t>
        </is>
      </c>
      <c r="F41" s="3" t="str">
        <f>=HYPERLINK("https://9to5mac.com/2026/02/26/apple-releases-xcode-26-3-with-support-for-agentic-coding/", "https://9to5mac.com/2026/02/26/apple-releases-xcode-26-3-with-support-for-agentic-coding/")</f>
        <v>https://9to5mac.com/2026/02/26/apple-releases-xcode-26-3-with-support-for-agentic-coding/</v>
      </c>
      <c r="G41"/>
      <c r="H41" t="inlineStr">
        <is>
          <t>Website</t>
        </is>
      </c>
      <c r="I41" t="inlineStr">
        <is>
          <t>งานประจำวัน</t>
        </is>
      </c>
      <c r="J41" t="inlineStr">
        <is>
          <t>Done</t>
        </is>
      </c>
      <c r="K41"/>
      <c r="L41" s="3" t="str">
        <f>=HYPERLINK("https://www.iphonemod.net/apple-xcode-26-3-agentic-coding.html", "https://www.iphonemod.net/apple-xcode-26-3-agentic-coding.html")</f>
        <v>https://www.iphonemod.net/apple-xcode-26-3-agentic-coding.html</v>
      </c>
      <c r="M41" t="inlineStr">
        <is>
          <t>1</t>
        </is>
      </c>
      <c r="N41" t="inlineStr">
        <is>
          <t>Apple</t>
        </is>
      </c>
      <c r="O41"/>
    </row>
    <row r="42" ht="12.75" customHeight="1">
      <c r="A42" t="inlineStr">
        <is>
          <t>Google ปรับดีไซน์ใหม่ของ Gemini overlay บน Android เพิ่มเมนู Tools แบบเต็มรูปแบบ</t>
        </is>
      </c>
      <c r="B42" t="inlineStr">
        <is>
          <t>Sasithakan Sritonthip</t>
        </is>
      </c>
      <c r="C42" s="2">
        <v>46080</v>
      </c>
      <c r="D42" s="2">
        <v>46080</v>
      </c>
      <c r="E42" t="inlineStr">
        <is>
          <t>ปกติ</t>
        </is>
      </c>
      <c r="F42" s="3" t="str">
        <f>=HYPERLINK("https://9to5google.com/2026/02/26/gemini-overlay-tools-redesign/", "https://9to5google.com/2026/02/26/gemini-overlay-tools-redesign/")</f>
        <v>https://9to5google.com/2026/02/26/gemini-overlay-tools-redesign/</v>
      </c>
      <c r="G42"/>
      <c r="H42" t="inlineStr">
        <is>
          <t>Website</t>
        </is>
      </c>
      <c r="I42" t="inlineStr">
        <is>
          <t>งานประจำวัน</t>
        </is>
      </c>
      <c r="J42" t="inlineStr">
        <is>
          <t>Done</t>
        </is>
      </c>
      <c r="K42"/>
      <c r="L42" s="3" t="str">
        <f>=HYPERLINK("https://www.iphonemod.net/gemini-overlay-redesign-on-android-adds-full-tools-menu.html", "https://www.iphonemod.net/gemini-overlay-redesign-on-android-adds-full-tools-menu.html")</f>
        <v>https://www.iphonemod.net/gemini-overlay-redesign-on-android-adds-full-tools-menu.html</v>
      </c>
      <c r="M42" t="inlineStr">
        <is>
          <t>1</t>
        </is>
      </c>
      <c r="N42" t="inlineStr">
        <is>
          <t>AI, Android</t>
        </is>
      </c>
      <c r="O42"/>
    </row>
    <row r="43" ht="12.75" customHeight="1">
      <c r="A43" t="inlineStr">
        <is>
          <t xml:space="preserve">Nano Banana 2 </t>
        </is>
      </c>
      <c r="B43" t="inlineStr">
        <is>
          <t>Nattida Suriyodara</t>
        </is>
      </c>
      <c r="C43" s="2">
        <v>46080</v>
      </c>
      <c r="D43" s="2">
        <v>46080</v>
      </c>
      <c r="E43"/>
      <c r="F43" s="3"/>
      <c r="G43"/>
      <c r="H43" t="inlineStr">
        <is>
          <t>YouTube</t>
        </is>
      </c>
      <c r="I43" t="inlineStr">
        <is>
          <t>งานประจำวัน</t>
        </is>
      </c>
      <c r="J43" t="inlineStr">
        <is>
          <t>Done</t>
        </is>
      </c>
      <c r="K43"/>
      <c r="L43" s="3"/>
      <c r="M43"/>
      <c r="N43" t="inlineStr">
        <is>
          <t>AI</t>
        </is>
      </c>
      <c r="O43"/>
    </row>
    <row r="44" ht="12.75" customHeight="1">
      <c r="A44" t="inlineStr">
        <is>
          <t xml:space="preserve">สรุปเปิดตัว Galaxy Buds4, Galaxy Buds4 Pro </t>
        </is>
      </c>
      <c r="B44" t="inlineStr">
        <is>
          <t>Nattida Suriyodara</t>
        </is>
      </c>
      <c r="C44" s="2">
        <v>46079</v>
      </c>
      <c r="D44" s="2">
        <v>46079</v>
      </c>
      <c r="E44"/>
      <c r="F44" s="3"/>
      <c r="G44"/>
      <c r="H44" t="inlineStr">
        <is>
          <t>Website</t>
        </is>
      </c>
      <c r="I44" t="inlineStr">
        <is>
          <t>งานประจำวัน</t>
        </is>
      </c>
      <c r="J44" t="inlineStr">
        <is>
          <t>Done</t>
        </is>
      </c>
      <c r="K44"/>
      <c r="L44" s="3"/>
      <c r="M44"/>
      <c r="N44" t="inlineStr">
        <is>
          <t>Android</t>
        </is>
      </c>
      <c r="O44"/>
    </row>
    <row r="45" ht="12.75" customHeight="1">
      <c r="A45" t="inlineStr">
        <is>
          <t xml:space="preserve">EU เผย Apple ซื้อกิจการ invrs.io LLC บริษัทเทคโนโลยี </t>
        </is>
      </c>
      <c r="B45" t="inlineStr">
        <is>
          <t>Nattida Suriyodara</t>
        </is>
      </c>
      <c r="C45" s="2">
        <v>46079</v>
      </c>
      <c r="D45" s="2">
        <v>46079</v>
      </c>
      <c r="E45"/>
      <c r="F45" s="3"/>
      <c r="G45"/>
      <c r="H45" t="inlineStr">
        <is>
          <t>Website</t>
        </is>
      </c>
      <c r="I45" t="inlineStr">
        <is>
          <t>งานประจำวัน</t>
        </is>
      </c>
      <c r="J45" t="inlineStr">
        <is>
          <t>Done</t>
        </is>
      </c>
      <c r="K45"/>
      <c r="L45" s="3"/>
      <c r="M45"/>
      <c r="N45" t="inlineStr">
        <is>
          <t>Apple</t>
        </is>
      </c>
      <c r="O45"/>
    </row>
    <row r="46" ht="12.75" customHeight="1">
      <c r="A46" t="inlineStr">
        <is>
          <t>Apple Maps เพิ่มฟีเจอร์ F1 แสดงแผนที่สนามแข่งแบบ 3D พร้อมสตรีม F1 ฟรีใน Apple TV+</t>
        </is>
      </c>
      <c r="B46" t="inlineStr">
        <is>
          <t>Sasithakan Sritonthip</t>
        </is>
      </c>
      <c r="C46" s="2">
        <v>46079</v>
      </c>
      <c r="D46" s="2">
        <v>46079</v>
      </c>
      <c r="E46" t="inlineStr">
        <is>
          <t>ปกติ</t>
        </is>
      </c>
      <c r="F46" s="3" t="str">
        <f>=HYPERLINK("https://9to5mac.com/2026/02/25/apple-maps-adds-detailed-f1-experience-ahead-of-2026-season/", "https://9to5mac.com/2026/02/25/apple-maps-adds-detailed-f1-experience-ahead-of-2026-season/")</f>
        <v>https://9to5mac.com/2026/02/25/apple-maps-adds-detailed-f1-experience-ahead-of-2026-season/</v>
      </c>
      <c r="G46"/>
      <c r="H46" t="inlineStr">
        <is>
          <t>Website</t>
        </is>
      </c>
      <c r="I46" t="inlineStr">
        <is>
          <t>งานประจำวัน</t>
        </is>
      </c>
      <c r="J46" t="inlineStr">
        <is>
          <t>Done</t>
        </is>
      </c>
      <c r="K46"/>
      <c r="L46" s="3" t="str">
        <f>=HYPERLINK("https://www.iphonemod.net/apple-maps-f1-experience-2026-season.html", "https://www.iphonemod.net/apple-maps-f1-experience-2026-season.html")</f>
        <v>https://www.iphonemod.net/apple-maps-f1-experience-2026-season.html</v>
      </c>
      <c r="M46" t="inlineStr">
        <is>
          <t>1</t>
        </is>
      </c>
      <c r="N46" t="inlineStr">
        <is>
          <t>Apple</t>
        </is>
      </c>
      <c r="O46"/>
    </row>
    <row r="47" ht="12.75" customHeight="1">
      <c r="A47" t="inlineStr">
        <is>
          <t>Apple และ Amazon ถูกกล่าวหา ไม่ปฏิบัติตามคำสั่งต่อต้านผูกขาดของสเปนเกือบ 2 ปี และอาจโดนปรับซ้ำเพิ่ม</t>
        </is>
      </c>
      <c r="B47" t="inlineStr">
        <is>
          <t>Sasithakan Sritonthip</t>
        </is>
      </c>
      <c r="C47" s="2">
        <v>46079</v>
      </c>
      <c r="D47" s="2">
        <v>46079</v>
      </c>
      <c r="E47" t="inlineStr">
        <is>
          <t>ปกติ</t>
        </is>
      </c>
      <c r="F47" s="3" t="str">
        <f>=HYPERLINK("https://9to5mac.com/2026/02/25/apple-and-amazon-accused-of-ignoring-spanish-antitrust-order-for-nearly-two-years/", "https://9to5mac.com/2026/02/25/apple-and-amazon-accused-of-ignoring-spanish-antitrust-order-for-nearly-two-years/")</f>
        <v>https://9to5mac.com/2026/02/25/apple-and-amazon-accused-of-ignoring-spanish-antitrust-order-for-nearly-two-years/</v>
      </c>
      <c r="G47"/>
      <c r="H47" t="inlineStr">
        <is>
          <t>Website</t>
        </is>
      </c>
      <c r="I47" t="inlineStr">
        <is>
          <t>งานประจำวัน</t>
        </is>
      </c>
      <c r="J47" t="inlineStr">
        <is>
          <t>Done</t>
        </is>
      </c>
      <c r="K47"/>
      <c r="L47" s="3" t="str">
        <f>=HYPERLINK("https://www.iphonemod.net/apple-amazon-spain-antitrust-non-compliance.html", "https://www.iphonemod.net/apple-amazon-spain-antitrust-non-compliance.html")</f>
        <v>https://www.iphonemod.net/apple-amazon-spain-antitrust-non-compliance.html</v>
      </c>
      <c r="M47" t="inlineStr">
        <is>
          <t>1</t>
        </is>
      </c>
      <c r="N47" t="inlineStr">
        <is>
          <t>Apple</t>
        </is>
      </c>
      <c r="O47"/>
    </row>
    <row r="48" ht="12.75" customHeight="1">
      <c r="A48" t="inlineStr">
        <is>
          <t>tvOS 26.4 เพิ่ม 3 ฟีเจอร์ใหม่สำหรับ Apple TV 4K</t>
        </is>
      </c>
      <c r="B48" t="inlineStr">
        <is>
          <t>Sasithakan Sritonthip</t>
        </is>
      </c>
      <c r="C48" s="2">
        <v>46079</v>
      </c>
      <c r="D48" s="2">
        <v>46079</v>
      </c>
      <c r="E48" t="inlineStr">
        <is>
          <t>ปกติ</t>
        </is>
      </c>
      <c r="F48" s="3" t="str">
        <f>=HYPERLINK("https://9to5mac.com/2026/02/25/tvos-26-4-three-new-changes-are-coming-for-apple-tv-4k/", "https://9to5mac.com/2026/02/25/tvos-26-4-three-new-changes-are-coming-for-apple-tv-4k/")</f>
        <v>https://9to5mac.com/2026/02/25/tvos-26-4-three-new-changes-are-coming-for-apple-tv-4k/</v>
      </c>
      <c r="G48"/>
      <c r="H48" t="inlineStr">
        <is>
          <t>Website</t>
        </is>
      </c>
      <c r="I48" t="inlineStr">
        <is>
          <t>งานประจำวัน</t>
        </is>
      </c>
      <c r="J48" t="inlineStr">
        <is>
          <t>Done</t>
        </is>
      </c>
      <c r="K48"/>
      <c r="L48" s="3" t="str">
        <f>=HYPERLINK("https://www.iphonemod.net/tvos-26-4-three-new-changes-apple-tv-4k.html", "https://www.iphonemod.net/tvos-26-4-three-new-changes-apple-tv-4k.html")</f>
        <v>https://www.iphonemod.net/tvos-26-4-three-new-changes-apple-tv-4k.html</v>
      </c>
      <c r="M48" t="inlineStr">
        <is>
          <t>1</t>
        </is>
      </c>
      <c r="N48"/>
      <c r="O48"/>
    </row>
    <row r="49" ht="12.75" customHeight="1">
      <c r="A49" t="inlineStr">
        <is>
          <t>Nvidia ยืนยันว่าจะยังคงสนับสนุน Shield TV ต่อไป</t>
        </is>
      </c>
      <c r="B49" t="inlineStr">
        <is>
          <t>Sasithakan Sritonthip</t>
        </is>
      </c>
      <c r="C49" s="2">
        <v>46079</v>
      </c>
      <c r="D49" s="2">
        <v>46079</v>
      </c>
      <c r="E49" t="inlineStr">
        <is>
          <t>ปกติ</t>
        </is>
      </c>
      <c r="F49" s="3" t="str">
        <f>=HYPERLINK("https://9to5google.com/2026/02/25/nvidia-shield-tv-is-getting-a-new-update-following-promise-of-continued-support/", "https://9to5google.com/2026/02/25/nvidia-shield-tv-is-getting-a-new-update-following-promise-of-continued-support/")</f>
        <v>https://9to5google.com/2026/02/25/nvidia-shield-tv-is-getting-a-new-update-following-promise-of-continued-support/</v>
      </c>
      <c r="G49"/>
      <c r="H49" t="inlineStr">
        <is>
          <t>Website</t>
        </is>
      </c>
      <c r="I49" t="inlineStr">
        <is>
          <t>งานประจำวัน</t>
        </is>
      </c>
      <c r="J49" t="inlineStr">
        <is>
          <t>Done</t>
        </is>
      </c>
      <c r="K49"/>
      <c r="L49" s="3" t="str">
        <f>=HYPERLINK("https://www.iphonemod.net/nvidia-shield-tv-is-getting-a-new-update-following-promise-of-continued-support-2.html", "https://www.iphonemod.net/nvidia-shield-tv-is-getting-a-new-update-following-promise-of-continued-support-2.html")</f>
        <v>https://www.iphonemod.net/nvidia-shield-tv-is-getting-a-new-update-following-promise-of-continued-support-2.html</v>
      </c>
      <c r="M49" t="inlineStr">
        <is>
          <t>1</t>
        </is>
      </c>
      <c r="N49"/>
      <c r="O49"/>
    </row>
    <row r="50" ht="12.75" customHeight="1">
      <c r="A50" t="inlineStr">
        <is>
          <t>Google เผยว่า Android 17 จะมี "สิ่งน่าทึ่ง" พร้อมระบบ AI ฉลาดขึ้น</t>
        </is>
      </c>
      <c r="B50" t="inlineStr">
        <is>
          <t>Sasithakan Sritonthip</t>
        </is>
      </c>
      <c r="C50" s="2">
        <v>46079</v>
      </c>
      <c r="D50" s="2">
        <v>46079</v>
      </c>
      <c r="E50" t="inlineStr">
        <is>
          <t>ปกติ</t>
        </is>
      </c>
      <c r="F50" s="3" t="str">
        <f>=HYPERLINK("https://9to5google.com/2026/02/25/android-17-tease-unpacked-2026/", "https://9to5google.com/2026/02/25/android-17-tease-unpacked-2026/")</f>
        <v>https://9to5google.com/2026/02/25/android-17-tease-unpacked-2026/</v>
      </c>
      <c r="G50"/>
      <c r="H50" t="inlineStr">
        <is>
          <t>Website</t>
        </is>
      </c>
      <c r="I50" t="inlineStr">
        <is>
          <t>งานประจำวัน</t>
        </is>
      </c>
      <c r="J50" t="inlineStr">
        <is>
          <t>Done</t>
        </is>
      </c>
      <c r="K50"/>
      <c r="L50" s="3" t="str">
        <f>=HYPERLINK("https://www.iphonemod.net/google-android-17-amazing-things-ai-system.html", "https://www.iphonemod.net/google-android-17-amazing-things-ai-system.html")</f>
        <v>https://www.iphonemod.net/google-android-17-amazing-things-ai-system.html</v>
      </c>
      <c r="M50" t="inlineStr">
        <is>
          <t>1</t>
        </is>
      </c>
      <c r="N50" t="inlineStr">
        <is>
          <t>Android</t>
        </is>
      </c>
      <c r="O50"/>
    </row>
    <row r="51" ht="12.75" customHeight="1">
      <c r="A51" t="inlineStr">
        <is>
          <t>เปิดตัว Galaxy S26 Ultra</t>
        </is>
      </c>
      <c r="B51" t="inlineStr">
        <is>
          <t>Thitirath Kinaret</t>
        </is>
      </c>
      <c r="C51" s="2">
        <v>46079</v>
      </c>
      <c r="D51" s="2">
        <v>46079</v>
      </c>
      <c r="E51"/>
      <c r="F51" s="3"/>
      <c r="G51"/>
      <c r="H51" t="inlineStr">
        <is>
          <t>Website</t>
        </is>
      </c>
      <c r="I51" t="inlineStr">
        <is>
          <t>งานประจำวัน</t>
        </is>
      </c>
      <c r="J51" t="inlineStr">
        <is>
          <t>Done</t>
        </is>
      </c>
      <c r="K51"/>
      <c r="L51" s="3"/>
      <c r="M51"/>
      <c r="N51" t="inlineStr">
        <is>
          <t>Android</t>
        </is>
      </c>
      <c r="O51"/>
    </row>
    <row r="52" ht="12.75" customHeight="1">
      <c r="A52" t="inlineStr">
        <is>
          <t>ลือ! iPhone 18 Pro มี Dynamic Island เล็กลง</t>
        </is>
      </c>
      <c r="B52" t="inlineStr">
        <is>
          <t>Thitirath Kinaret</t>
        </is>
      </c>
      <c r="C52" s="2">
        <v>46079</v>
      </c>
      <c r="D52" s="2">
        <v>46079</v>
      </c>
      <c r="E52"/>
      <c r="F52" s="3"/>
      <c r="G52"/>
      <c r="H52" t="inlineStr">
        <is>
          <t>Website</t>
        </is>
      </c>
      <c r="I52" t="inlineStr">
        <is>
          <t>งานประจำวัน</t>
        </is>
      </c>
      <c r="J52" t="inlineStr">
        <is>
          <t>Done</t>
        </is>
      </c>
      <c r="K52"/>
      <c r="L52" s="3"/>
      <c r="M52"/>
      <c r="N52" t="inlineStr">
        <is>
          <t>Apple</t>
        </is>
      </c>
      <c r="O52"/>
    </row>
    <row r="53" ht="12.75" customHeight="1">
      <c r="A53" t="inlineStr">
        <is>
          <t>เปิดตัว vivo V70</t>
        </is>
      </c>
      <c r="B53" t="inlineStr">
        <is>
          <t>Thitirath Kinaret</t>
        </is>
      </c>
      <c r="C53" s="2">
        <v>46079</v>
      </c>
      <c r="D53" s="2">
        <v>46079</v>
      </c>
      <c r="E53"/>
      <c r="F53" s="3"/>
      <c r="G53"/>
      <c r="H53" t="inlineStr">
        <is>
          <t>Pic Posts / Album</t>
        </is>
      </c>
      <c r="I53" t="inlineStr">
        <is>
          <t>งานประจำวัน</t>
        </is>
      </c>
      <c r="J53" t="inlineStr">
        <is>
          <t>Done</t>
        </is>
      </c>
      <c r="K53"/>
      <c r="L53" s="3"/>
      <c r="M53"/>
      <c r="N53" t="inlineStr">
        <is>
          <t>Android</t>
        </is>
      </c>
      <c r="O53"/>
    </row>
    <row r="54" ht="12.75" customHeight="1">
      <c r="A54" t="inlineStr">
        <is>
          <t>ไฮไลต์เด่น Galaxy S26 | S26+ [ปรับต่อจากใบคุณ]</t>
        </is>
      </c>
      <c r="B54" t="inlineStr">
        <is>
          <t>Thitirath Kinaret</t>
        </is>
      </c>
      <c r="C54" s="2">
        <v>46079</v>
      </c>
      <c r="D54" s="2">
        <v>46079</v>
      </c>
      <c r="E54"/>
      <c r="F54" s="3"/>
      <c r="G54"/>
      <c r="H54" t="inlineStr">
        <is>
          <t>Pic Posts / Album</t>
        </is>
      </c>
      <c r="I54" t="inlineStr">
        <is>
          <t>งานประจำวัน</t>
        </is>
      </c>
      <c r="J54" t="inlineStr">
        <is>
          <t>Done</t>
        </is>
      </c>
      <c r="K54"/>
      <c r="L54" s="3"/>
      <c r="M54"/>
      <c r="N54" t="inlineStr">
        <is>
          <t>Android</t>
        </is>
      </c>
      <c r="O54"/>
    </row>
    <row r="55" ht="12.75" customHeight="1">
      <c r="A55" t="inlineStr">
        <is>
          <t>ไฮไลต์เด่น Galaxy S26 Ultra [ปรับต่อจากใบคุณ]</t>
        </is>
      </c>
      <c r="B55" t="inlineStr">
        <is>
          <t>Thitirath Kinaret</t>
        </is>
      </c>
      <c r="C55" s="2">
        <v>46079</v>
      </c>
      <c r="D55" s="2">
        <v>46079</v>
      </c>
      <c r="E55"/>
      <c r="F55" s="3"/>
      <c r="G55"/>
      <c r="H55" t="inlineStr">
        <is>
          <t>Pic Posts / Album</t>
        </is>
      </c>
      <c r="I55" t="inlineStr">
        <is>
          <t>งานประจำวัน</t>
        </is>
      </c>
      <c r="J55" t="inlineStr">
        <is>
          <t>Done</t>
        </is>
      </c>
      <c r="K55"/>
      <c r="L55" s="3"/>
      <c r="M55"/>
      <c r="N55" t="inlineStr">
        <is>
          <t>Android</t>
        </is>
      </c>
      <c r="O55"/>
    </row>
    <row r="56" ht="12.75" customHeight="1">
      <c r="A56" t="inlineStr">
        <is>
          <t>เปรียบเทียบสเปก Galaxy S26 Ultra vs S25 Ultra</t>
        </is>
      </c>
      <c r="B56" t="inlineStr">
        <is>
          <t>Thitirath Kinaret</t>
        </is>
      </c>
      <c r="C56" s="2">
        <v>46079</v>
      </c>
      <c r="D56" s="2">
        <v>46079</v>
      </c>
      <c r="E56"/>
      <c r="F56" s="3"/>
      <c r="G56"/>
      <c r="H56" t="inlineStr">
        <is>
          <t>Pic Posts / Album</t>
        </is>
      </c>
      <c r="I56" t="inlineStr">
        <is>
          <t>งานประจำวัน</t>
        </is>
      </c>
      <c r="J56" t="inlineStr">
        <is>
          <t>Done</t>
        </is>
      </c>
      <c r="K56"/>
      <c r="L56" s="3"/>
      <c r="M56"/>
      <c r="N56" t="inlineStr">
        <is>
          <t>Android</t>
        </is>
      </c>
      <c r="O56"/>
    </row>
    <row r="57" ht="12.75" customHeight="1">
      <c r="A57" t="inlineStr">
        <is>
          <t>ราคาไทย Galaxy S26 Series</t>
        </is>
      </c>
      <c r="B57" t="inlineStr">
        <is>
          <t>Thitirath Kinaret</t>
        </is>
      </c>
      <c r="C57" s="2">
        <v>46079</v>
      </c>
      <c r="D57" s="2">
        <v>46079</v>
      </c>
      <c r="E57"/>
      <c r="F57" s="3"/>
      <c r="G57"/>
      <c r="H57" t="inlineStr">
        <is>
          <t>Pic Posts / Album</t>
        </is>
      </c>
      <c r="I57" t="inlineStr">
        <is>
          <t>งานประจำวัน</t>
        </is>
      </c>
      <c r="J57" t="inlineStr">
        <is>
          <t>Done</t>
        </is>
      </c>
      <c r="K57"/>
      <c r="L57" s="3"/>
      <c r="M57"/>
      <c r="N57" t="inlineStr">
        <is>
          <t>Android</t>
        </is>
      </c>
      <c r="O57"/>
    </row>
    <row r="58" ht="12.75" customHeight="1">
      <c r="A58" t="inlineStr">
        <is>
          <t>Nearby Glasses</t>
        </is>
      </c>
      <c r="B58" t="inlineStr">
        <is>
          <t>Krongkwun  Rithiwong</t>
        </is>
      </c>
      <c r="C58" s="2">
        <v>46079</v>
      </c>
      <c r="D58" s="2">
        <v>46079</v>
      </c>
      <c r="E58" t="inlineStr">
        <is>
          <t>ปกติ</t>
        </is>
      </c>
      <c r="F58" s="3"/>
      <c r="G58"/>
      <c r="H58" t="inlineStr">
        <is>
          <t>Website</t>
        </is>
      </c>
      <c r="I58" t="inlineStr">
        <is>
          <t>งานประจำวัน</t>
        </is>
      </c>
      <c r="J58" t="inlineStr">
        <is>
          <t>Done</t>
        </is>
      </c>
      <c r="K58"/>
      <c r="L58" s="3"/>
      <c r="M58" t="inlineStr">
        <is>
          <t>1</t>
        </is>
      </c>
      <c r="N58" t="inlineStr">
        <is>
          <t>Android</t>
        </is>
      </c>
      <c r="O58"/>
    </row>
    <row r="59" ht="12.75" customHeight="1">
      <c r="A59" t="inlineStr">
        <is>
          <t>สรุปข่าวลือ iPad Air ใหม่!</t>
        </is>
      </c>
      <c r="B59" t="inlineStr">
        <is>
          <t>Nattida Suriyodara</t>
        </is>
      </c>
      <c r="C59" s="2">
        <v>46078</v>
      </c>
      <c r="D59" s="2">
        <v>46078</v>
      </c>
      <c r="E59"/>
      <c r="F59" s="3"/>
      <c r="G59"/>
      <c r="H59" t="inlineStr">
        <is>
          <t>Website</t>
        </is>
      </c>
      <c r="I59" t="inlineStr">
        <is>
          <t>งานประจำวัน</t>
        </is>
      </c>
      <c r="J59" t="inlineStr">
        <is>
          <t>Done</t>
        </is>
      </c>
      <c r="K59"/>
      <c r="L59" s="3"/>
      <c r="M59"/>
      <c r="N59" t="inlineStr">
        <is>
          <t>Apple</t>
        </is>
      </c>
      <c r="O59"/>
    </row>
    <row r="60" ht="12.75" customHeight="1">
      <c r="A60" t="inlineStr">
        <is>
          <t xml:space="preserve">WhatsApp </t>
        </is>
      </c>
      <c r="B60" t="inlineStr">
        <is>
          <t>Nattida Suriyodara</t>
        </is>
      </c>
      <c r="C60" s="2">
        <v>46078</v>
      </c>
      <c r="D60" s="2">
        <v>46078</v>
      </c>
      <c r="E60"/>
      <c r="F60" s="3"/>
      <c r="G60"/>
      <c r="H60" t="inlineStr">
        <is>
          <t>Website</t>
        </is>
      </c>
      <c r="I60" t="inlineStr">
        <is>
          <t>งานประจำวัน</t>
        </is>
      </c>
      <c r="J60" t="inlineStr">
        <is>
          <t>Done</t>
        </is>
      </c>
      <c r="K60"/>
      <c r="L60" s="3"/>
      <c r="M60"/>
      <c r="N60" t="inlineStr">
        <is>
          <t>Tech, ทั่วไป</t>
        </is>
      </c>
      <c r="O60"/>
    </row>
    <row r="61" ht="12.75" customHeight="1">
      <c r="A61" t="inlineStr">
        <is>
          <t>Anthropic ร่วมกับ OpenAI กล่าวหาบริษัท AI จีน 3 แห่ง</t>
        </is>
      </c>
      <c r="B61" t="inlineStr">
        <is>
          <t>Nattida Suriyodara</t>
        </is>
      </c>
      <c r="C61" s="2">
        <v>46078</v>
      </c>
      <c r="D61" s="2">
        <v>46078</v>
      </c>
      <c r="E61"/>
      <c r="F61" s="3"/>
      <c r="G61"/>
      <c r="H61" t="inlineStr">
        <is>
          <t>Website</t>
        </is>
      </c>
      <c r="I61" t="inlineStr">
        <is>
          <t>งานประจำวัน</t>
        </is>
      </c>
      <c r="J61" t="inlineStr">
        <is>
          <t>Done</t>
        </is>
      </c>
      <c r="K61"/>
      <c r="L61" s="3"/>
      <c r="M61"/>
      <c r="N61" t="inlineStr">
        <is>
          <t>AI</t>
        </is>
      </c>
      <c r="O61"/>
    </row>
    <row r="62" ht="12.75" customHeight="1">
      <c r="A62" t="inlineStr">
        <is>
          <t>ลือ! MacBook Pro จอสัมผัส OLED มี Dynamic Island เปิดตัวปลายปี 2026</t>
        </is>
      </c>
      <c r="B62" t="inlineStr">
        <is>
          <t>Thitirath Kinaret</t>
        </is>
      </c>
      <c r="C62" s="2">
        <v>46078</v>
      </c>
      <c r="D62" s="2">
        <v>46078</v>
      </c>
      <c r="E62"/>
      <c r="F62" s="3"/>
      <c r="G62"/>
      <c r="H62" t="inlineStr">
        <is>
          <t>Pic Posts / Album, Website</t>
        </is>
      </c>
      <c r="I62" t="inlineStr">
        <is>
          <t>งานประจำวัน</t>
        </is>
      </c>
      <c r="J62" t="inlineStr">
        <is>
          <t>Done</t>
        </is>
      </c>
      <c r="K62"/>
      <c r="L62" s="3"/>
      <c r="M62"/>
      <c r="N62" t="inlineStr">
        <is>
          <t>Apple</t>
        </is>
      </c>
      <c r="O62"/>
    </row>
    <row r="63" ht="12.75" customHeight="1">
      <c r="A63" t="inlineStr">
        <is>
          <t>ToxFREE พบสารอันตรายในหูฟัง ทุกยี่ห้อที่ทดสอบ เสี่ยงก่อโรคมะเร็ง
</t>
        </is>
      </c>
      <c r="B63" t="inlineStr">
        <is>
          <t>Thitirath Kinaret</t>
        </is>
      </c>
      <c r="C63" s="2">
        <v>46078</v>
      </c>
      <c r="D63" s="2">
        <v>46078</v>
      </c>
      <c r="E63"/>
      <c r="F63" s="3"/>
      <c r="G63"/>
      <c r="H63" t="inlineStr">
        <is>
          <t>Pic Posts / Album, Website</t>
        </is>
      </c>
      <c r="I63" t="inlineStr">
        <is>
          <t>งานประจำวัน</t>
        </is>
      </c>
      <c r="J63" t="inlineStr">
        <is>
          <t>Done</t>
        </is>
      </c>
      <c r="K63"/>
      <c r="L63" s="3"/>
      <c r="M63"/>
      <c r="N63" t="inlineStr">
        <is>
          <t>Tech</t>
        </is>
      </c>
      <c r="O63"/>
    </row>
    <row r="64" ht="12.75" customHeight="1">
      <c r="A64" t="inlineStr">
        <is>
          <t>Tim Cook กล่าวถึงความทรงจำ ตอนร่วม Apple และการเรียนรู้จาก Steve Jobs
</t>
        </is>
      </c>
      <c r="B64" t="inlineStr">
        <is>
          <t>Thitirath Kinaret</t>
        </is>
      </c>
      <c r="C64" s="2">
        <v>46078</v>
      </c>
      <c r="D64" s="2">
        <v>46078</v>
      </c>
      <c r="E64"/>
      <c r="F64" s="3"/>
      <c r="G64"/>
      <c r="H64" t="inlineStr">
        <is>
          <t>Pic Posts / Album, Website</t>
        </is>
      </c>
      <c r="I64" t="inlineStr">
        <is>
          <t>งานประจำวัน</t>
        </is>
      </c>
      <c r="J64" t="inlineStr">
        <is>
          <t>Done</t>
        </is>
      </c>
      <c r="K64"/>
      <c r="L64" s="3"/>
      <c r="M64"/>
      <c r="N64" t="inlineStr">
        <is>
          <t>Apple</t>
        </is>
      </c>
      <c r="O64"/>
    </row>
    <row r="65" ht="12.75" customHeight="1">
      <c r="A65" t="inlineStr">
        <is>
          <t>YouTube เพิ่มให้ Premium Lite เล่นวิดีโอเบื้องหลัง และดาวน์โหลดได้
</t>
        </is>
      </c>
      <c r="B65" t="inlineStr">
        <is>
          <t>Thitirath Kinaret</t>
        </is>
      </c>
      <c r="C65" s="2">
        <v>46078</v>
      </c>
      <c r="D65" s="2">
        <v>46078</v>
      </c>
      <c r="E65"/>
      <c r="F65" s="3"/>
      <c r="G65"/>
      <c r="H65" t="inlineStr">
        <is>
          <t>Pic Posts / Album, Website</t>
        </is>
      </c>
      <c r="I65" t="inlineStr">
        <is>
          <t>งานประจำวัน</t>
        </is>
      </c>
      <c r="J65" t="inlineStr">
        <is>
          <t>Done</t>
        </is>
      </c>
      <c r="K65"/>
      <c r="L65" s="3"/>
      <c r="M65"/>
      <c r="N65" t="inlineStr">
        <is>
          <t>Tech</t>
        </is>
      </c>
      <c r="O65"/>
    </row>
    <row r="66" ht="12.75" customHeight="1">
      <c r="A66" t="inlineStr">
        <is>
          <t>Apple ทำสถิติขาย iPhone ใหม่ในยุโรป ครองส่วนแบ่ง 27% ปี 2025
</t>
        </is>
      </c>
      <c r="B66" t="inlineStr">
        <is>
          <t>Thitirath Kinaret</t>
        </is>
      </c>
      <c r="C66" s="2">
        <v>46078</v>
      </c>
      <c r="D66" s="2">
        <v>46078</v>
      </c>
      <c r="E66"/>
      <c r="F66" s="3"/>
      <c r="G66"/>
      <c r="H66" t="inlineStr">
        <is>
          <t>Pic Posts / Album, Website</t>
        </is>
      </c>
      <c r="I66" t="inlineStr">
        <is>
          <t>งานประจำวัน</t>
        </is>
      </c>
      <c r="J66" t="inlineStr">
        <is>
          <t>Done</t>
        </is>
      </c>
      <c r="K66"/>
      <c r="L66" s="3"/>
      <c r="M66"/>
      <c r="N66" t="inlineStr">
        <is>
          <t>Apple</t>
        </is>
      </c>
      <c r="O66"/>
    </row>
    <row r="67" ht="12.75" customHeight="1">
      <c r="A67" t="inlineStr">
        <is>
          <t>AUKEY x CCC แนะนำมาตรฐานกับสินค้าใหม่</t>
        </is>
      </c>
      <c r="B67" t="inlineStr">
        <is>
          <t>Thitirath Kinaret</t>
        </is>
      </c>
      <c r="C67" s="2">
        <v>46078</v>
      </c>
      <c r="D67" s="2">
        <v>46078</v>
      </c>
      <c r="E67"/>
      <c r="F67" s="3"/>
      <c r="G67"/>
      <c r="H67" t="inlineStr">
        <is>
          <t>YouTube</t>
        </is>
      </c>
      <c r="I67" t="inlineStr">
        <is>
          <t>งานลูกค้า</t>
        </is>
      </c>
      <c r="J67" t="inlineStr">
        <is>
          <t>On Process</t>
        </is>
      </c>
      <c r="K67"/>
      <c r="L67" s="3"/>
      <c r="M67"/>
      <c r="N67" t="inlineStr">
        <is>
          <t>ลูกค้า</t>
        </is>
      </c>
      <c r="O67" t="inlineStr">
        <is>
          <t>Aukey</t>
        </is>
      </c>
    </row>
    <row r="68" ht="12.75" customHeight="1">
      <c r="A68" t="inlineStr">
        <is>
          <t>เปิดตัว Galaxy S26 | S26+</t>
        </is>
      </c>
      <c r="B68" t="inlineStr">
        <is>
          <t>Thitirath Kinaret</t>
        </is>
      </c>
      <c r="C68" s="2">
        <v>46078</v>
      </c>
      <c r="D68" s="2">
        <v>46078</v>
      </c>
      <c r="E68"/>
      <c r="F68" s="3"/>
      <c r="G68"/>
      <c r="H68" t="inlineStr">
        <is>
          <t>Website</t>
        </is>
      </c>
      <c r="I68" t="inlineStr">
        <is>
          <t>งานประจำวัน</t>
        </is>
      </c>
      <c r="J68" t="inlineStr">
        <is>
          <t>Done</t>
        </is>
      </c>
      <c r="K68"/>
      <c r="L68" s="3"/>
      <c r="M68"/>
      <c r="N68" t="inlineStr">
        <is>
          <t>Android</t>
        </is>
      </c>
      <c r="O68"/>
    </row>
    <row r="69" ht="12.75" customHeight="1">
      <c r="A69" t="inlineStr">
        <is>
          <t>Apple Watch คุยไลน์ได้ไหม?</t>
        </is>
      </c>
      <c r="B69" t="inlineStr">
        <is>
          <t>Nattida Suriyodara</t>
        </is>
      </c>
      <c r="C69" s="2">
        <v>46077</v>
      </c>
      <c r="D69" s="2">
        <v>46077</v>
      </c>
      <c r="E69"/>
      <c r="F69" s="3"/>
      <c r="G69"/>
      <c r="H69" t="inlineStr">
        <is>
          <t>Shorts</t>
        </is>
      </c>
      <c r="I69" t="inlineStr">
        <is>
          <t>งานประจำวัน</t>
        </is>
      </c>
      <c r="J69" t="inlineStr">
        <is>
          <t>Done</t>
        </is>
      </c>
      <c r="K69"/>
      <c r="L69" s="3"/>
      <c r="M69"/>
      <c r="N69" t="inlineStr">
        <is>
          <t>AI</t>
        </is>
      </c>
      <c r="O69"/>
    </row>
    <row r="70" ht="12.75" customHeight="1">
      <c r="A70" t="inlineStr">
        <is>
          <t>Apple ประกาศผลิต Mac mini ในสหรัฐฯ เป็นครั้งแรก เริ่มปลายปี 2026</t>
        </is>
      </c>
      <c r="B70" t="inlineStr">
        <is>
          <t>Thitirath Kinaret</t>
        </is>
      </c>
      <c r="C70" s="2">
        <v>46077</v>
      </c>
      <c r="D70" s="2">
        <v>46077</v>
      </c>
      <c r="E70"/>
      <c r="F70" s="3"/>
      <c r="G70"/>
      <c r="H70" t="inlineStr">
        <is>
          <t>Website, Pic Posts / Album</t>
        </is>
      </c>
      <c r="I70" t="inlineStr">
        <is>
          <t>งานประจำวัน</t>
        </is>
      </c>
      <c r="J70" t="inlineStr">
        <is>
          <t>Done</t>
        </is>
      </c>
      <c r="K70"/>
      <c r="L70" s="3"/>
      <c r="M70"/>
      <c r="N70" t="inlineStr">
        <is>
          <t>Apple</t>
        </is>
      </c>
      <c r="O70"/>
    </row>
    <row r="71" ht="12.75" customHeight="1">
      <c r="A71" t="inlineStr">
        <is>
          <t>Galaxy S26 รองรับคำสั่ง Hey Plex เพื่อเรียกใช้ Perplexity</t>
        </is>
      </c>
      <c r="B71" t="inlineStr">
        <is>
          <t>Thitirath Kinaret</t>
        </is>
      </c>
      <c r="C71" s="2">
        <v>46077</v>
      </c>
      <c r="D71" s="2">
        <v>46077</v>
      </c>
      <c r="E71"/>
      <c r="F71" s="3"/>
      <c r="G71"/>
      <c r="H71" t="inlineStr">
        <is>
          <t>Pic Posts / Album, Website</t>
        </is>
      </c>
      <c r="I71" t="inlineStr">
        <is>
          <t>งานประจำวัน</t>
        </is>
      </c>
      <c r="J71" t="inlineStr">
        <is>
          <t>Done</t>
        </is>
      </c>
      <c r="K71"/>
      <c r="L71" s="3"/>
      <c r="M71"/>
      <c r="N71" t="inlineStr">
        <is>
          <t>Android, AI</t>
        </is>
      </c>
      <c r="O71"/>
    </row>
    <row r="72" ht="12.75" customHeight="1">
      <c r="A72" t="inlineStr">
        <is>
          <t>โคโลราโดเตรียมออกกฎหมาย ห้ามสร้างปืนด้วยเครื่องพิมพ์ 3 มิติ
</t>
        </is>
      </c>
      <c r="B72" t="inlineStr">
        <is>
          <t>Thitirath Kinaret</t>
        </is>
      </c>
      <c r="C72" s="2">
        <v>46077</v>
      </c>
      <c r="D72" s="2">
        <v>46077</v>
      </c>
      <c r="E72"/>
      <c r="F72" s="3"/>
      <c r="G72"/>
      <c r="H72" t="inlineStr">
        <is>
          <t>Pic Posts / Album, Website</t>
        </is>
      </c>
      <c r="I72" t="inlineStr">
        <is>
          <t>งานประจำวัน</t>
        </is>
      </c>
      <c r="J72" t="inlineStr">
        <is>
          <t>Done</t>
        </is>
      </c>
      <c r="K72"/>
      <c r="L72" s="3"/>
      <c r="M72"/>
      <c r="N72" t="inlineStr">
        <is>
          <t>Tech</t>
        </is>
      </c>
      <c r="O72"/>
    </row>
    <row r="73" ht="12.75" customHeight="1">
      <c r="A73" t="inlineStr">
        <is>
          <t>ผู้อำนวยการ AI Safety ของ Meta เจอ OpenClaw ลบอีเมลไม่หยุด
</t>
        </is>
      </c>
      <c r="B73" t="inlineStr">
        <is>
          <t>Thitirath Kinaret</t>
        </is>
      </c>
      <c r="C73" s="2">
        <v>46077</v>
      </c>
      <c r="D73" s="2">
        <v>46077</v>
      </c>
      <c r="E73"/>
      <c r="F73" s="3"/>
      <c r="G73"/>
      <c r="H73" t="inlineStr">
        <is>
          <t>Pic Posts / Album, Website</t>
        </is>
      </c>
      <c r="I73" t="inlineStr">
        <is>
          <t>งานประจำวัน</t>
        </is>
      </c>
      <c r="J73" t="inlineStr">
        <is>
          <t>Done</t>
        </is>
      </c>
      <c r="K73"/>
      <c r="L73" s="3"/>
      <c r="M73"/>
      <c r="N73" t="inlineStr">
        <is>
          <t>AI</t>
        </is>
      </c>
      <c r="O73"/>
    </row>
    <row r="74" ht="12.75" customHeight="1">
      <c r="A74" t="inlineStr">
        <is>
          <t>iPhone 18 Pro เข้าสู่ขั้นตอนการทดสอบการผลิตแล้ว</t>
        </is>
      </c>
      <c r="B74" t="inlineStr">
        <is>
          <t>Thitirath Kinaret</t>
        </is>
      </c>
      <c r="C74" s="2">
        <v>46077</v>
      </c>
      <c r="D74" s="2">
        <v>46077</v>
      </c>
      <c r="E74"/>
      <c r="F74" s="3"/>
      <c r="G74"/>
      <c r="H74" t="inlineStr">
        <is>
          <t>Website</t>
        </is>
      </c>
      <c r="I74" t="inlineStr">
        <is>
          <t>งานประจำวัน</t>
        </is>
      </c>
      <c r="J74" t="inlineStr">
        <is>
          <t>Done</t>
        </is>
      </c>
      <c r="K74"/>
      <c r="L74" s="3"/>
      <c r="M74"/>
      <c r="N74" t="inlineStr">
        <is>
          <t>Apple</t>
        </is>
      </c>
      <c r="O74"/>
    </row>
    <row r="75" ht="12.75" customHeight="1">
      <c r="A75" t="inlineStr">
        <is>
          <t>Apple ปล่อย iOS 26.4 Beta 2 ให้ทดสอบ</t>
        </is>
      </c>
      <c r="B75" t="inlineStr">
        <is>
          <t>Thitirath Kinaret</t>
        </is>
      </c>
      <c r="C75" s="2">
        <v>46077</v>
      </c>
      <c r="D75" s="2">
        <v>46077</v>
      </c>
      <c r="E75"/>
      <c r="F75" s="3"/>
      <c r="G75"/>
      <c r="H75" t="inlineStr">
        <is>
          <t>Website</t>
        </is>
      </c>
      <c r="I75" t="inlineStr">
        <is>
          <t>งานประจำวัน</t>
        </is>
      </c>
      <c r="J75" t="inlineStr">
        <is>
          <t>Done</t>
        </is>
      </c>
      <c r="K75"/>
      <c r="L75" s="3"/>
      <c r="M75"/>
      <c r="N75" t="inlineStr">
        <is>
          <t>Apple</t>
        </is>
      </c>
      <c r="O75"/>
    </row>
    <row r="76" ht="12.75" customHeight="1">
      <c r="A76" t="inlineStr">
        <is>
          <t>Acme Weather</t>
        </is>
      </c>
      <c r="B76" t="inlineStr">
        <is>
          <t>Krongkwun  Rithiwong</t>
        </is>
      </c>
      <c r="C76" s="2">
        <v>46077</v>
      </c>
      <c r="D76" s="2">
        <v>46077</v>
      </c>
      <c r="E76" t="inlineStr">
        <is>
          <t>ปกติ</t>
        </is>
      </c>
      <c r="F76" s="3" t="str">
        <f>=HYPERLINK("https://www.iphonemod.net/acme-weather-dark-sky-team-new-app.html", "https://www.iphonemod.net/acme-weather-dark-sky-team-new-app.html")</f>
        <v>https://www.iphonemod.net/acme-weather-dark-sky-team-new-app.html</v>
      </c>
      <c r="G76"/>
      <c r="H76" t="inlineStr">
        <is>
          <t>Website</t>
        </is>
      </c>
      <c r="I76" t="inlineStr">
        <is>
          <t>งานประจำวัน</t>
        </is>
      </c>
      <c r="J76" t="inlineStr">
        <is>
          <t>Done</t>
        </is>
      </c>
      <c r="K76"/>
      <c r="L76" s="3"/>
      <c r="M76" t="inlineStr">
        <is>
          <t>1</t>
        </is>
      </c>
      <c r="N76" t="inlineStr">
        <is>
          <t>Apple, Tech</t>
        </is>
      </c>
      <c r="O76"/>
    </row>
    <row r="77" ht="12.75" customHeight="1">
      <c r="A77" t="inlineStr">
        <is>
          <t>Turaco Philips Hue</t>
        </is>
      </c>
      <c r="B77" t="inlineStr">
        <is>
          <t>Krongkwun  Rithiwong</t>
        </is>
      </c>
      <c r="C77" s="2">
        <v>46077</v>
      </c>
      <c r="D77" s="2">
        <v>46077</v>
      </c>
      <c r="E77" t="inlineStr">
        <is>
          <t>ปกติ</t>
        </is>
      </c>
      <c r="F77" s="3" t="str">
        <f>=HYPERLINK("https://www.iphonemod.net/philips-hue-outdoor-smart-lights-turaco-upgrade.html", "https://www.iphonemod.net/philips-hue-outdoor-smart-lights-turaco-upgrade.html")</f>
        <v>https://www.iphonemod.net/philips-hue-outdoor-smart-lights-turaco-upgrade.html</v>
      </c>
      <c r="G77"/>
      <c r="H77" t="inlineStr">
        <is>
          <t>Website</t>
        </is>
      </c>
      <c r="I77" t="inlineStr">
        <is>
          <t>งานประจำวัน</t>
        </is>
      </c>
      <c r="J77" t="inlineStr">
        <is>
          <t>Done</t>
        </is>
      </c>
      <c r="K77"/>
      <c r="L77" s="3"/>
      <c r="M77" t="inlineStr">
        <is>
          <t>1</t>
        </is>
      </c>
      <c r="N77" t="inlineStr">
        <is>
          <t>Tech</t>
        </is>
      </c>
      <c r="O77"/>
    </row>
    <row r="78" ht="12.75" customHeight="1">
      <c r="A78" t="inlineStr">
        <is>
          <t>ลำโพลงพร้อมกล้องของ Jony Ive</t>
        </is>
      </c>
      <c r="B78" t="inlineStr">
        <is>
          <t>Nattida Suriyodara</t>
        </is>
      </c>
      <c r="C78" s="2">
        <v>46076</v>
      </c>
      <c r="D78" s="2">
        <v>46076</v>
      </c>
      <c r="E78"/>
      <c r="F78" s="3"/>
      <c r="G78"/>
      <c r="H78" t="inlineStr">
        <is>
          <t>Website, Pic Posts / Album</t>
        </is>
      </c>
      <c r="I78" t="inlineStr">
        <is>
          <t>งานประจำวัน</t>
        </is>
      </c>
      <c r="J78" t="inlineStr">
        <is>
          <t>Done</t>
        </is>
      </c>
      <c r="K78"/>
      <c r="L78" s="3"/>
      <c r="M78"/>
      <c r="N78" t="inlineStr">
        <is>
          <t>AI</t>
        </is>
      </c>
      <c r="O78"/>
    </row>
    <row r="79" ht="12.75" customHeight="1">
      <c r="A79" t="inlineStr">
        <is>
          <t xml:space="preserve">Google ปล่อยฟีเจอร์ลบรูปหลุด </t>
        </is>
      </c>
      <c r="B79" t="inlineStr">
        <is>
          <t>Nattida Suriyodara</t>
        </is>
      </c>
      <c r="C79" s="2">
        <v>46076</v>
      </c>
      <c r="D79" s="2">
        <v>46076</v>
      </c>
      <c r="E79"/>
      <c r="F79" s="3"/>
      <c r="G79"/>
      <c r="H79" t="inlineStr">
        <is>
          <t>Website</t>
        </is>
      </c>
      <c r="I79" t="inlineStr">
        <is>
          <t>งานประจำวัน</t>
        </is>
      </c>
      <c r="J79" t="inlineStr">
        <is>
          <t>Done</t>
        </is>
      </c>
      <c r="K79"/>
      <c r="L79" s="3"/>
      <c r="M79"/>
      <c r="N79" t="inlineStr">
        <is>
          <t>Tech</t>
        </is>
      </c>
      <c r="O79"/>
    </row>
    <row r="80" ht="12.75" customHeight="1">
      <c r="A80" t="inlineStr">
        <is>
          <t>Apple Music 5.2 บน Android อัปเดตเพิ่ม 3 ฟีเจอร์ใหม่</t>
        </is>
      </c>
      <c r="B80" t="inlineStr">
        <is>
          <t>Sasithakan Sritonthip</t>
        </is>
      </c>
      <c r="C80" s="2">
        <v>46076</v>
      </c>
      <c r="D80" s="2">
        <v>46076</v>
      </c>
      <c r="E80" t="inlineStr">
        <is>
          <t>ปกติ</t>
        </is>
      </c>
      <c r="F80" s="3" t="str">
        <f>=HYPERLINK("https://9to5google.com/2026/02/22/apple-music-5-2-android/", "https://9to5google.com/2026/02/22/apple-music-5-2-android/")</f>
        <v>https://9to5google.com/2026/02/22/apple-music-5-2-android/</v>
      </c>
      <c r="G80"/>
      <c r="H80" t="inlineStr">
        <is>
          <t>Website</t>
        </is>
      </c>
      <c r="I80" t="inlineStr">
        <is>
          <t>งานประจำวัน</t>
        </is>
      </c>
      <c r="J80" t="inlineStr">
        <is>
          <t>Done</t>
        </is>
      </c>
      <c r="K80"/>
      <c r="L80" s="3" t="str">
        <f>=HYPERLINK("https://www.iphonemod.net/apple-music-5-2-android-playlist-playground-ai.html", "https://www.iphonemod.net/apple-music-5-2-android-playlist-playground-ai.html")</f>
        <v>https://www.iphonemod.net/apple-music-5-2-android-playlist-playground-ai.html</v>
      </c>
      <c r="M80" t="inlineStr">
        <is>
          <t>1</t>
        </is>
      </c>
      <c r="N80" t="inlineStr">
        <is>
          <t>Apple, AI, Android</t>
        </is>
      </c>
      <c r="O80"/>
    </row>
    <row r="81" ht="12.75" customHeight="1">
      <c r="A81" t="inlineStr">
        <is>
          <t xml:space="preserve">5 ทริก Apple Watch </t>
        </is>
      </c>
      <c r="B81" t="inlineStr">
        <is>
          <t>Nattida Suriyodara</t>
        </is>
      </c>
      <c r="C81" s="2">
        <v>46076</v>
      </c>
      <c r="D81" s="2">
        <v>46076</v>
      </c>
      <c r="E81"/>
      <c r="F81" s="3"/>
      <c r="G81"/>
      <c r="H81" t="inlineStr">
        <is>
          <t>Shorts</t>
        </is>
      </c>
      <c r="I81" t="inlineStr">
        <is>
          <t>งานประจำวัน</t>
        </is>
      </c>
      <c r="J81" t="inlineStr">
        <is>
          <t>Done</t>
        </is>
      </c>
      <c r="K81"/>
      <c r="L81" s="3"/>
      <c r="M81"/>
      <c r="N81" t="inlineStr">
        <is>
          <t>Apple</t>
        </is>
      </c>
      <c r="O81"/>
    </row>
    <row r="82" ht="12.75" customHeight="1">
      <c r="A82" t="inlineStr">
        <is>
          <t>WhatsApp กำลังพัฒนาฟีเจอร์ Anti-Spoiler</t>
        </is>
      </c>
      <c r="B82" t="inlineStr">
        <is>
          <t>Sasithakan Sritonthip</t>
        </is>
      </c>
      <c r="C82" s="2">
        <v>46076</v>
      </c>
      <c r="D82" s="2">
        <v>46076</v>
      </c>
      <c r="E82" t="inlineStr">
        <is>
          <t>ปกติ</t>
        </is>
      </c>
      <c r="F82" s="3" t="str">
        <f>=HYPERLINK("https://9to5mac.com/2026/02/20/whatsapp-working-on-anti-spoiler-feature-for-text-messages/", "https://9to5mac.com/2026/02/20/whatsapp-working-on-anti-spoiler-feature-for-text-messages/")</f>
        <v>https://9to5mac.com/2026/02/20/whatsapp-working-on-anti-spoiler-feature-for-text-messages/</v>
      </c>
      <c r="G82"/>
      <c r="H82" t="inlineStr">
        <is>
          <t>Website</t>
        </is>
      </c>
      <c r="I82" t="inlineStr">
        <is>
          <t>งานประจำวัน</t>
        </is>
      </c>
      <c r="J82" t="inlineStr">
        <is>
          <t>Done</t>
        </is>
      </c>
      <c r="K82"/>
      <c r="L82" s="3" t="str">
        <f>=HYPERLINK("https://www.iphonemod.net/whatsapp-anti-spoiler-feature.html", "https://www.iphonemod.net/whatsapp-anti-spoiler-feature.html")</f>
        <v>https://www.iphonemod.net/whatsapp-anti-spoiler-feature.html</v>
      </c>
      <c r="M82" t="inlineStr">
        <is>
          <t>1</t>
        </is>
      </c>
      <c r="N82" t="inlineStr">
        <is>
          <t>Tech</t>
        </is>
      </c>
      <c r="O82"/>
    </row>
    <row r="83" ht="12.75" customHeight="1">
      <c r="A83" t="inlineStr">
        <is>
          <t>แนะนำ 3 เครื่องชั่งน้ำหนักที่เชื่อมข้อมูลกับแอป Apple Health</t>
        </is>
      </c>
      <c r="B83" t="inlineStr">
        <is>
          <t>Sasithakan Sritonthip</t>
        </is>
      </c>
      <c r="C83" s="2">
        <v>46076</v>
      </c>
      <c r="D83" s="2">
        <v>46076</v>
      </c>
      <c r="E83" t="inlineStr">
        <is>
          <t>ปกติ</t>
        </is>
      </c>
      <c r="F83" s="3" t="str">
        <f>=HYPERLINK("https://9to5mac.com/best-smart-scales-iphone-ipad-apple-health-app/", "https://9to5mac.com/best-smart-scales-iphone-ipad-apple-health-app/")</f>
        <v>https://9to5mac.com/best-smart-scales-iphone-ipad-apple-health-app/</v>
      </c>
      <c r="G83"/>
      <c r="H83" t="inlineStr">
        <is>
          <t>Website</t>
        </is>
      </c>
      <c r="I83" t="inlineStr">
        <is>
          <t>งานประจำวัน</t>
        </is>
      </c>
      <c r="J83" t="inlineStr">
        <is>
          <t>Done</t>
        </is>
      </c>
      <c r="K83"/>
      <c r="L83" s="3" t="str">
        <f>=HYPERLINK("https://www.iphonemod.net/best-smart-scales-iphone-ipad-apple-health.html", "https://www.iphonemod.net/best-smart-scales-iphone-ipad-apple-health.html")</f>
        <v>https://www.iphonemod.net/best-smart-scales-iphone-ipad-apple-health.html</v>
      </c>
      <c r="M83" t="inlineStr">
        <is>
          <t>1</t>
        </is>
      </c>
      <c r="N83" t="inlineStr">
        <is>
          <t>Apple, Tech</t>
        </is>
      </c>
      <c r="O83"/>
    </row>
    <row r="84" ht="12.75" customHeight="1">
      <c r="A84" t="inlineStr">
        <is>
          <t>Strava อัปเดตเพิ่ม 5 หมวดหมู่กีฬาและกิจกรรมใหม่</t>
        </is>
      </c>
      <c r="B84" t="inlineStr">
        <is>
          <t>Sasithakan Sritonthip</t>
        </is>
      </c>
      <c r="C84" s="2">
        <v>46076</v>
      </c>
      <c r="D84" s="2">
        <v>46076</v>
      </c>
      <c r="E84" t="inlineStr">
        <is>
          <t>ปกติ</t>
        </is>
      </c>
      <c r="F84" s="3" t="str">
        <f>=HYPERLINK("https://9to5mac.com/2026/02/20/strava-adds-five-activity-modalities-including-dancing/", "https://9to5mac.com/2026/02/20/strava-adds-five-activity-modalities-including-dancing/")</f>
        <v>https://9to5mac.com/2026/02/20/strava-adds-five-activity-modalities-including-dancing/</v>
      </c>
      <c r="G84"/>
      <c r="H84" t="inlineStr">
        <is>
          <t>Website</t>
        </is>
      </c>
      <c r="I84" t="inlineStr">
        <is>
          <t>งานประจำวัน</t>
        </is>
      </c>
      <c r="J84" t="inlineStr">
        <is>
          <t>Done</t>
        </is>
      </c>
      <c r="K84"/>
      <c r="L84" s="3" t="str">
        <f>=HYPERLINK("https://www.iphonemod.net/strava-adds-five-activity-modalities-including-dancing.html", "https://www.iphonemod.net/strava-adds-five-activity-modalities-including-dancing.html")</f>
        <v>https://www.iphonemod.net/strava-adds-five-activity-modalities-including-dancing.html</v>
      </c>
      <c r="M84" t="inlineStr">
        <is>
          <t>1</t>
        </is>
      </c>
      <c r="N84" t="inlineStr">
        <is>
          <t>Tech</t>
        </is>
      </c>
      <c r="O84"/>
    </row>
    <row r="85" ht="12.75" customHeight="1">
      <c r="A85" t="inlineStr">
        <is>
          <t>Google เพิ่มกล่อง AI Mode บนแถบค้นหา URL ของ Chrome</t>
        </is>
      </c>
      <c r="B85" t="inlineStr">
        <is>
          <t>Sasithakan Sritonthip</t>
        </is>
      </c>
      <c r="C85" s="2">
        <v>46076</v>
      </c>
      <c r="D85" s="2">
        <v>46076</v>
      </c>
      <c r="E85" t="inlineStr">
        <is>
          <t>ปกติ</t>
        </is>
      </c>
      <c r="F85" s="3" t="str">
        <f>=HYPERLINK("https://9to5google.com/2026/02/21/chrome-address-bar-ai-mode/", "https://9to5google.com/2026/02/21/chrome-address-bar-ai-mode/")</f>
        <v>https://9to5google.com/2026/02/21/chrome-address-bar-ai-mode/</v>
      </c>
      <c r="G85"/>
      <c r="H85" t="inlineStr">
        <is>
          <t>Website</t>
        </is>
      </c>
      <c r="I85" t="inlineStr">
        <is>
          <t>งานประจำวัน</t>
        </is>
      </c>
      <c r="J85" t="inlineStr">
        <is>
          <t>Done</t>
        </is>
      </c>
      <c r="K85"/>
      <c r="L85" s="3" t="str">
        <f>=HYPERLINK("https://www.iphonemod.net/google-brings-full-ai-mode-prompt-box-to-chrome-address-bar.html", "https://www.iphonemod.net/google-brings-full-ai-mode-prompt-box-to-chrome-address-bar.html")</f>
        <v>https://www.iphonemod.net/google-brings-full-ai-mode-prompt-box-to-chrome-address-bar.html</v>
      </c>
      <c r="M85" t="inlineStr">
        <is>
          <t>1</t>
        </is>
      </c>
      <c r="N85" t="inlineStr">
        <is>
          <t>Android</t>
        </is>
      </c>
      <c r="O85"/>
    </row>
    <row r="86" ht="12.75" customHeight="1">
      <c r="A86" t="inlineStr">
        <is>
          <t>ภาพแนวคิด iPhone 18 Pro สีต่าง ๆ</t>
        </is>
      </c>
      <c r="B86" t="inlineStr">
        <is>
          <t>Thitirath Kinaret</t>
        </is>
      </c>
      <c r="C86" s="2">
        <v>46076</v>
      </c>
      <c r="D86" s="2">
        <v>46076</v>
      </c>
      <c r="E86"/>
      <c r="F86" s="3"/>
      <c r="G86"/>
      <c r="H86" t="inlineStr">
        <is>
          <t>Pic Posts / Album</t>
        </is>
      </c>
      <c r="I86" t="inlineStr">
        <is>
          <t>งานประจำวัน</t>
        </is>
      </c>
      <c r="J86" t="inlineStr">
        <is>
          <t>Done</t>
        </is>
      </c>
      <c r="K86"/>
      <c r="L86" s="3"/>
      <c r="M86"/>
      <c r="N86" t="inlineStr">
        <is>
          <t>Apple</t>
        </is>
      </c>
      <c r="O86"/>
    </row>
    <row r="87" ht="12.75" customHeight="1">
      <c r="A87" t="inlineStr">
        <is>
          <t>เปลี่ยนสมาร์ตโฟน Android เก่า เป็นผู้ช่วย AI ผ่าน OpenClaw ได้</t>
        </is>
      </c>
      <c r="B87" t="inlineStr">
        <is>
          <t>Thitirath Kinaret</t>
        </is>
      </c>
      <c r="C87" s="2">
        <v>46076</v>
      </c>
      <c r="D87" s="2">
        <v>46076</v>
      </c>
      <c r="E87"/>
      <c r="F87" s="3"/>
      <c r="G87"/>
      <c r="H87" t="inlineStr">
        <is>
          <t>Pic Posts / Album, Website</t>
        </is>
      </c>
      <c r="I87" t="inlineStr">
        <is>
          <t>งานประจำวัน</t>
        </is>
      </c>
      <c r="J87" t="inlineStr">
        <is>
          <t>Done</t>
        </is>
      </c>
      <c r="K87"/>
      <c r="L87" s="3"/>
      <c r="M87"/>
      <c r="N87" t="inlineStr">
        <is>
          <t>AI, Tech</t>
        </is>
      </c>
      <c r="O87"/>
    </row>
    <row r="88" ht="12.75" customHeight="1">
      <c r="A88" t="inlineStr">
        <is>
          <t>Apple อาจเปิดตัวสินค้าใหม่อย่างน้อย 5 รุ่น</t>
        </is>
      </c>
      <c r="B88" t="inlineStr">
        <is>
          <t>Thitirath Kinaret</t>
        </is>
      </c>
      <c r="C88" s="2">
        <v>46076</v>
      </c>
      <c r="D88" s="2">
        <v>46076</v>
      </c>
      <c r="E88"/>
      <c r="F88" s="3"/>
      <c r="G88"/>
      <c r="H88" t="inlineStr">
        <is>
          <t>Website, Pic Posts / Album</t>
        </is>
      </c>
      <c r="I88" t="inlineStr">
        <is>
          <t>งานประจำวัน</t>
        </is>
      </c>
      <c r="J88" t="inlineStr">
        <is>
          <t>Done</t>
        </is>
      </c>
      <c r="K88"/>
      <c r="L88" s="3"/>
      <c r="M88"/>
      <c r="N88" t="inlineStr">
        <is>
          <t>Apple</t>
        </is>
      </c>
      <c r="O88"/>
    </row>
    <row r="89" ht="12.75" customHeight="1">
      <c r="A89" t="inlineStr">
        <is>
          <t>Apple ทดสอบสีแดงเข้ม สำหรับ iPhone 18 Pro</t>
        </is>
      </c>
      <c r="B89" t="inlineStr">
        <is>
          <t>Thitirath Kinaret</t>
        </is>
      </c>
      <c r="C89" s="2">
        <v>46076</v>
      </c>
      <c r="D89" s="2">
        <v>46076</v>
      </c>
      <c r="E89"/>
      <c r="F89" s="3"/>
      <c r="G89"/>
      <c r="H89" t="inlineStr">
        <is>
          <t>Pic Posts / Album, Website</t>
        </is>
      </c>
      <c r="I89" t="inlineStr">
        <is>
          <t>งานประจำวัน</t>
        </is>
      </c>
      <c r="J89" t="inlineStr">
        <is>
          <t>Done</t>
        </is>
      </c>
      <c r="K89"/>
      <c r="L89" s="3"/>
      <c r="M89"/>
      <c r="N89" t="inlineStr">
        <is>
          <t>Apple</t>
        </is>
      </c>
      <c r="O89"/>
    </row>
    <row r="90" ht="12.75" customHeight="1">
      <c r="A90" t="inlineStr">
        <is>
          <t>Apple อาจปล่อยอัปเดต iOS 26.3.1 ก่อนงาน Special Apple Experience
</t>
        </is>
      </c>
      <c r="B90" t="inlineStr">
        <is>
          <t>Thitirath Kinaret</t>
        </is>
      </c>
      <c r="C90" s="2">
        <v>46076</v>
      </c>
      <c r="D90" s="2">
        <v>46076</v>
      </c>
      <c r="E90"/>
      <c r="F90" s="3"/>
      <c r="G90"/>
      <c r="H90" t="inlineStr">
        <is>
          <t>Pic Posts / Album, Website</t>
        </is>
      </c>
      <c r="I90" t="inlineStr">
        <is>
          <t>งานประจำวัน</t>
        </is>
      </c>
      <c r="J90" t="inlineStr">
        <is>
          <t>Done</t>
        </is>
      </c>
      <c r="K90"/>
      <c r="L90" s="3"/>
      <c r="M90"/>
      <c r="N90" t="inlineStr">
        <is>
          <t>Apple</t>
        </is>
      </c>
      <c r="O90"/>
    </row>
    <row r="91" ht="12.75" customHeight="1">
      <c r="A91" t="inlineStr">
        <is>
          <t>Apple กับ Jon Prosser ประสานวันให้การคดีหลุดดีไซน์ iOS 26</t>
        </is>
      </c>
      <c r="B91" t="inlineStr">
        <is>
          <t>Thitirath Kinaret</t>
        </is>
      </c>
      <c r="C91" s="2">
        <v>46076</v>
      </c>
      <c r="D91" s="2">
        <v>46076</v>
      </c>
      <c r="E91"/>
      <c r="F91" s="3"/>
      <c r="G91"/>
      <c r="H91" t="inlineStr">
        <is>
          <t>Website</t>
        </is>
      </c>
      <c r="I91" t="inlineStr">
        <is>
          <t>งานประจำวัน</t>
        </is>
      </c>
      <c r="J91" t="inlineStr">
        <is>
          <t>Done</t>
        </is>
      </c>
      <c r="K91"/>
      <c r="L91" s="3"/>
      <c r="M91"/>
      <c r="N91" t="inlineStr">
        <is>
          <t>Apple</t>
        </is>
      </c>
      <c r="O91"/>
    </row>
    <row r="92" ht="12.75" customHeight="1">
      <c r="A92" t="inlineStr">
        <is>
          <t>ANKER eufy เปิดตัวหุ่นยนต์ดูดฝุ่นรุ่นใหม่</t>
        </is>
      </c>
      <c r="B92" t="inlineStr">
        <is>
          <t>Thitirath Kinaret</t>
        </is>
      </c>
      <c r="C92" s="2">
        <v>46076</v>
      </c>
      <c r="D92" s="2">
        <v>46076</v>
      </c>
      <c r="E92"/>
      <c r="F92" s="3"/>
      <c r="G92"/>
      <c r="H92" t="inlineStr">
        <is>
          <t>Website</t>
        </is>
      </c>
      <c r="I92" t="inlineStr">
        <is>
          <t>งานลูกค้า</t>
        </is>
      </c>
      <c r="J92" t="inlineStr">
        <is>
          <t>Done</t>
        </is>
      </c>
      <c r="K92"/>
      <c r="L92" s="3"/>
      <c r="M92"/>
      <c r="N92" t="inlineStr">
        <is>
          <t>PR</t>
        </is>
      </c>
      <c r="O92" t="inlineStr">
        <is>
          <t>Anker</t>
        </is>
      </c>
    </row>
    <row r="93" ht="12.75" customHeight="1">
      <c r="A93" t="inlineStr">
        <is>
          <t>รวมสาย Apple Watch ยี่ห้อต่าง ๆ งบไม่เกิน 2,000 บาท</t>
        </is>
      </c>
      <c r="B93" t="inlineStr">
        <is>
          <t>Nattida Suriyodara</t>
        </is>
      </c>
      <c r="C93" s="2">
        <v>46076</v>
      </c>
      <c r="D93" s="2">
        <v>46076</v>
      </c>
      <c r="E93"/>
      <c r="F93" s="3"/>
      <c r="G93"/>
      <c r="H93" t="inlineStr">
        <is>
          <t>YouTube</t>
        </is>
      </c>
      <c r="I93" t="inlineStr">
        <is>
          <t>งานประจำวัน</t>
        </is>
      </c>
      <c r="J93" t="inlineStr">
        <is>
          <t>Done</t>
        </is>
      </c>
      <c r="K93"/>
      <c r="L93" s="3"/>
      <c r="M93"/>
      <c r="N93" t="inlineStr">
        <is>
          <t>Apple</t>
        </is>
      </c>
      <c r="O93"/>
    </row>
    <row r="94" ht="12.75" customHeight="1">
      <c r="A94" t="inlineStr">
        <is>
          <t>หุ่นยนต์ทำแล็บแทนคน</t>
        </is>
      </c>
      <c r="B94" t="inlineStr">
        <is>
          <t>Krongkwun  Rithiwong</t>
        </is>
      </c>
      <c r="C94" s="2">
        <v>46076</v>
      </c>
      <c r="D94" s="2">
        <v>46076</v>
      </c>
      <c r="E94" t="inlineStr">
        <is>
          <t>ปกติ</t>
        </is>
      </c>
      <c r="F94" s="3" t="str">
        <f>=HYPERLINK("https://www.iphonemod.net/will-self-driving-robot-labs-replace-biologists-paper-sparks-debate.html", "https://www.iphonemod.net/will-self-driving-robot-labs-replace-biologists-paper-sparks-debate.html")</f>
        <v>https://www.iphonemod.net/will-self-driving-robot-labs-replace-biologists-paper-sparks-debate.html</v>
      </c>
      <c r="G94"/>
      <c r="H94" t="inlineStr">
        <is>
          <t>Website</t>
        </is>
      </c>
      <c r="I94" t="inlineStr">
        <is>
          <t>งานประจำวัน</t>
        </is>
      </c>
      <c r="J94" t="inlineStr">
        <is>
          <t>Done</t>
        </is>
      </c>
      <c r="K94"/>
      <c r="L94" s="3"/>
      <c r="M94" t="inlineStr">
        <is>
          <t>1</t>
        </is>
      </c>
      <c r="N94" t="inlineStr">
        <is>
          <t>Tech, AI</t>
        </is>
      </c>
      <c r="O94"/>
    </row>
    <row r="95" ht="12.75" customHeight="1">
      <c r="A95" t="inlineStr">
        <is>
          <t>Dyson PencilWash</t>
        </is>
      </c>
      <c r="B95" t="inlineStr">
        <is>
          <t>Krongkwun  Rithiwong</t>
        </is>
      </c>
      <c r="C95" s="2">
        <v>46076</v>
      </c>
      <c r="D95" s="2">
        <v>46076</v>
      </c>
      <c r="E95" t="inlineStr">
        <is>
          <t>ปกติ</t>
        </is>
      </c>
      <c r="F95" s="3" t="str">
        <f>=HYPERLINK("https://www.iphonemod.net/dyson-pencilwash-wet-floor-cleaner.html", "https://www.iphonemod.net/dyson-pencilwash-wet-floor-cleaner.html")</f>
        <v>https://www.iphonemod.net/dyson-pencilwash-wet-floor-cleaner.html</v>
      </c>
      <c r="G95"/>
      <c r="H95" t="inlineStr">
        <is>
          <t>Website</t>
        </is>
      </c>
      <c r="I95" t="inlineStr">
        <is>
          <t>งานประจำวัน</t>
        </is>
      </c>
      <c r="J95" t="inlineStr">
        <is>
          <t>Done</t>
        </is>
      </c>
      <c r="K95"/>
      <c r="L95" s="3"/>
      <c r="M95" t="inlineStr">
        <is>
          <t>1</t>
        </is>
      </c>
      <c r="N95" t="inlineStr">
        <is>
          <t>Tech</t>
        </is>
      </c>
      <c r="O95"/>
    </row>
    <row r="96" ht="12.75" customHeight="1">
      <c r="A96" t="inlineStr">
        <is>
          <t>MOFT รองรับ Find My</t>
        </is>
      </c>
      <c r="B96" t="inlineStr">
        <is>
          <t>Krongkwun  Rithiwong</t>
        </is>
      </c>
      <c r="C96" s="2">
        <v>46076</v>
      </c>
      <c r="D96" s="2">
        <v>46076</v>
      </c>
      <c r="E96" t="inlineStr">
        <is>
          <t>ปกติ</t>
        </is>
      </c>
      <c r="F96" s="3" t="str">
        <f>=HYPERLINK("https://www.iphonemod.net/moft-magsafe-wallet-find-my-kickstand.html", "https://www.iphonemod.net/moft-magsafe-wallet-find-my-kickstand.html")</f>
        <v>https://www.iphonemod.net/moft-magsafe-wallet-find-my-kickstand.html</v>
      </c>
      <c r="G96"/>
      <c r="H96" t="inlineStr">
        <is>
          <t>Website</t>
        </is>
      </c>
      <c r="I96" t="inlineStr">
        <is>
          <t>งานประจำวัน</t>
        </is>
      </c>
      <c r="J96" t="inlineStr">
        <is>
          <t>Done</t>
        </is>
      </c>
      <c r="K96"/>
      <c r="L96" s="3"/>
      <c r="M96" t="inlineStr">
        <is>
          <t>1</t>
        </is>
      </c>
      <c r="N96" t="inlineStr">
        <is>
          <t>Tech</t>
        </is>
      </c>
      <c r="O96"/>
    </row>
    <row r="97" ht="12.75" customHeight="1">
      <c r="A97" t="inlineStr">
        <is>
          <t>Gemini 3.1 Pro เปิดตัวแล้ว! โมเดล AI ฉลาดกว่าเดิม 2 เท่า</t>
        </is>
      </c>
      <c r="B97" t="inlineStr">
        <is>
          <t>Nattida Suriyodara</t>
        </is>
      </c>
      <c r="C97" s="2">
        <v>46073</v>
      </c>
      <c r="D97" s="2">
        <v>46073</v>
      </c>
      <c r="E97"/>
      <c r="F97" s="3"/>
      <c r="G97"/>
      <c r="H97" t="inlineStr">
        <is>
          <t>Website, Pic Posts / Album</t>
        </is>
      </c>
      <c r="I97" t="inlineStr">
        <is>
          <t>งานประจำวัน</t>
        </is>
      </c>
      <c r="J97" t="inlineStr">
        <is>
          <t>Done</t>
        </is>
      </c>
      <c r="K97"/>
      <c r="L97" s="3"/>
      <c r="M97"/>
      <c r="N97" t="inlineStr">
        <is>
          <t>AI, Tech</t>
        </is>
      </c>
      <c r="O97"/>
    </row>
    <row r="98" ht="12.75" customHeight="1">
      <c r="A98" t="inlineStr">
        <is>
          <t>Chrome เพิ่มฟีเจอร์ Split View, PDF Annotations และ Save to Drive</t>
        </is>
      </c>
      <c r="B98" t="inlineStr">
        <is>
          <t>Sasithakan Sritonthip</t>
        </is>
      </c>
      <c r="C98" s="2">
        <v>46073</v>
      </c>
      <c r="D98" s="2">
        <v>46073</v>
      </c>
      <c r="E98" t="inlineStr">
        <is>
          <t>ปกติ</t>
        </is>
      </c>
      <c r="F98" s="3" t="str">
        <f>=HYPERLINK("https://blog.google/products-and-platforms/products/chrome/chrome-productivity-improvements/", "https://blog.google/products-and-platforms/products/chrome/chrome-productivity-improvements/")</f>
        <v>https://blog.google/products-and-platforms/products/chrome/chrome-productivity-improvements/</v>
      </c>
      <c r="G98"/>
      <c r="H98" t="inlineStr">
        <is>
          <t>Website</t>
        </is>
      </c>
      <c r="I98" t="inlineStr">
        <is>
          <t>งานประจำวัน</t>
        </is>
      </c>
      <c r="J98" t="inlineStr">
        <is>
          <t>Done</t>
        </is>
      </c>
      <c r="K98"/>
      <c r="L98" s="3" t="str">
        <f>=HYPERLINK("https://www.iphonemod.net/chrome-update-split-view-pdf-annotations-save-to-drive.html", "https://www.iphonemod.net/chrome-update-split-view-pdf-annotations-save-to-drive.html")</f>
        <v>https://www.iphonemod.net/chrome-update-split-view-pdf-annotations-save-to-drive.html</v>
      </c>
      <c r="M98" t="inlineStr">
        <is>
          <t>1</t>
        </is>
      </c>
      <c r="N98" t="inlineStr">
        <is>
          <t>Tech</t>
        </is>
      </c>
      <c r="O98"/>
    </row>
    <row r="99" ht="12.75" customHeight="1">
      <c r="A99" t="inlineStr">
        <is>
          <t>YouTube ทดสอบฟีเจอร์ Conversational AI บนแอป TV ถามคำถามด้วยเสียง</t>
        </is>
      </c>
      <c r="B99" t="inlineStr">
        <is>
          <t>Sasithakan Sritonthip</t>
        </is>
      </c>
      <c r="C99" s="2">
        <v>46073</v>
      </c>
      <c r="D99" s="2">
        <v>46073</v>
      </c>
      <c r="E99" t="inlineStr">
        <is>
          <t>ปกติ</t>
        </is>
      </c>
      <c r="F99" s="3" t="str">
        <f>=HYPERLINK("https://9to5google.com/2026/02/19/youtube-tv-conversational-ai-test/", "https://9to5google.com/2026/02/19/youtube-tv-conversational-ai-test/")</f>
        <v>https://9to5google.com/2026/02/19/youtube-tv-conversational-ai-test/</v>
      </c>
      <c r="G99"/>
      <c r="H99" t="inlineStr">
        <is>
          <t>Website</t>
        </is>
      </c>
      <c r="I99" t="inlineStr">
        <is>
          <t>งานประจำวัน</t>
        </is>
      </c>
      <c r="J99" t="inlineStr">
        <is>
          <t>Done</t>
        </is>
      </c>
      <c r="K99"/>
      <c r="L99" s="3"/>
      <c r="M99" t="inlineStr">
        <is>
          <t>1</t>
        </is>
      </c>
      <c r="N99" t="inlineStr">
        <is>
          <t>AI, Tech</t>
        </is>
      </c>
      <c r="O99"/>
    </row>
    <row r="100" ht="12.75" customHeight="1">
      <c r="A100" t="inlineStr">
        <is>
          <t>iMoD ต้อนรับน้อง มข.</t>
        </is>
      </c>
      <c r="B100" t="inlineStr">
        <is>
          <t>Nattida Suriyodara,Krongkwun  Rithiwong</t>
        </is>
      </c>
      <c r="C100" s="2">
        <v>46073</v>
      </c>
      <c r="D100" s="2">
        <v>46073</v>
      </c>
      <c r="E100"/>
      <c r="F100" s="3"/>
      <c r="G100"/>
      <c r="H100" t="inlineStr">
        <is>
          <t>Shorts</t>
        </is>
      </c>
      <c r="I100" t="inlineStr">
        <is>
          <t>งานประจำวัน</t>
        </is>
      </c>
      <c r="J100" t="inlineStr">
        <is>
          <t>Done</t>
        </is>
      </c>
      <c r="K100"/>
      <c r="L100" s="3"/>
      <c r="M100"/>
      <c r="N100" t="inlineStr">
        <is>
          <t>ทั่วไป, PR</t>
        </is>
      </c>
      <c r="O100"/>
    </row>
    <row r="101" ht="12.75" customHeight="1">
      <c r="A101" t="inlineStr">
        <is>
          <t>Apple TV ร่วมมือกับ IMAX ฉาย F1 กว่า 50 สาขาทั่วสหรัฐฯ</t>
        </is>
      </c>
      <c r="B101" t="inlineStr">
        <is>
          <t>Sasithakan Sritonthip</t>
        </is>
      </c>
      <c r="C101" s="2">
        <v>46073</v>
      </c>
      <c r="D101" s="2">
        <v>46073</v>
      </c>
      <c r="E101" t="inlineStr">
        <is>
          <t>ปกติ</t>
        </is>
      </c>
      <c r="F101" s="3" t="str">
        <f>=HYPERLINK("https://9to5mac.com/2026/02/19/apple-tv-imax-formula-1-theaters/", "https://9to5mac.com/2026/02/19/apple-tv-imax-formula-1-theaters/")</f>
        <v>https://9to5mac.com/2026/02/19/apple-tv-imax-formula-1-theaters/</v>
      </c>
      <c r="G101"/>
      <c r="H101" t="inlineStr">
        <is>
          <t>Website</t>
        </is>
      </c>
      <c r="I101" t="inlineStr">
        <is>
          <t>งานประจำวัน</t>
        </is>
      </c>
      <c r="J101" t="inlineStr">
        <is>
          <t>Done</t>
        </is>
      </c>
      <c r="K101"/>
      <c r="L101" s="3" t="str">
        <f>=HYPERLINK("https://www.iphonemod.net/apple-tv-imax-formula-1-live-theaters.html", "https://www.iphonemod.net/apple-tv-imax-formula-1-live-theaters.html")</f>
        <v>https://www.iphonemod.net/apple-tv-imax-formula-1-live-theaters.html</v>
      </c>
      <c r="M101" t="inlineStr">
        <is>
          <t>1</t>
        </is>
      </c>
      <c r="N101" t="inlineStr">
        <is>
          <t>Apple</t>
        </is>
      </c>
      <c r="O101"/>
    </row>
    <row r="102" ht="12.75" customHeight="1">
      <c r="A102" t="inlineStr">
        <is>
          <t>Rivian เปิดตัวแอป Apple Watch ควบคุมรถด้วยข้อมือได้</t>
        </is>
      </c>
      <c r="B102" t="inlineStr">
        <is>
          <t>Sasithakan Sritonthip</t>
        </is>
      </c>
      <c r="C102" s="2">
        <v>46073</v>
      </c>
      <c r="D102" s="2">
        <v>46073</v>
      </c>
      <c r="E102" t="inlineStr">
        <is>
          <t>ปกติ</t>
        </is>
      </c>
      <c r="F102" s="3" t="str">
        <f>=HYPERLINK("https://www.macrumors.com/2026/02/19/rivian-introduces-apple-watch-app/", "https://www.macrumors.com/2026/02/19/rivian-introduces-apple-watch-app/")</f>
        <v>https://www.macrumors.com/2026/02/19/rivian-introduces-apple-watch-app/</v>
      </c>
      <c r="G102"/>
      <c r="H102" t="inlineStr">
        <is>
          <t>Website</t>
        </is>
      </c>
      <c r="I102" t="inlineStr">
        <is>
          <t>งานประจำวัน</t>
        </is>
      </c>
      <c r="J102" t="inlineStr">
        <is>
          <t>Done</t>
        </is>
      </c>
      <c r="K102"/>
      <c r="L102" s="3"/>
      <c r="M102" t="inlineStr">
        <is>
          <t>1</t>
        </is>
      </c>
      <c r="N102" t="inlineStr">
        <is>
          <t>Apple, Tech</t>
        </is>
      </c>
      <c r="O102"/>
    </row>
    <row r="103" ht="12.75" customHeight="1">
      <c r="A103" t="inlineStr">
        <is>
          <t>Opera ฉลองครบ 30 ปี ด้วยเว็บไซต์ Web Rewind ย้อนดูประวัติศาสตร์อินเทอร์เน็ต</t>
        </is>
      </c>
      <c r="B103" t="inlineStr">
        <is>
          <t>Sasithakan Sritonthip</t>
        </is>
      </c>
      <c r="C103" s="2">
        <v>46073</v>
      </c>
      <c r="D103" s="2">
        <v>46073</v>
      </c>
      <c r="E103" t="inlineStr">
        <is>
          <t>ปกติ</t>
        </is>
      </c>
      <c r="F103" s="3" t="str">
        <f>=HYPERLINK("https://9to5mac.com/2026/02/19/opera-made-an-adorably-quirky-website-to-celebrate-its-browsers-30th-anniversary/", "https://9to5mac.com/2026/02/19/opera-made-an-adorably-quirky-website-to-celebrate-its-browsers-30th-anniversary/")</f>
        <v>https://9to5mac.com/2026/02/19/opera-made-an-adorably-quirky-website-to-celebrate-its-browsers-30th-anniversary/</v>
      </c>
      <c r="G103"/>
      <c r="H103" t="inlineStr">
        <is>
          <t>Website</t>
        </is>
      </c>
      <c r="I103" t="inlineStr">
        <is>
          <t>งานประจำวัน</t>
        </is>
      </c>
      <c r="J103" t="inlineStr">
        <is>
          <t>Done</t>
        </is>
      </c>
      <c r="K103"/>
      <c r="L103" s="3" t="str">
        <f>=HYPERLINK("https://www.iphonemod.net/opera-30th-anniversary-web-rewind.html", "https://www.iphonemod.net/opera-30th-anniversary-web-rewind.html")</f>
        <v>https://www.iphonemod.net/opera-30th-anniversary-web-rewind.html</v>
      </c>
      <c r="M103" t="inlineStr">
        <is>
          <t>1</t>
        </is>
      </c>
      <c r="N103" t="inlineStr">
        <is>
          <t>Tech</t>
        </is>
      </c>
      <c r="O103"/>
    </row>
    <row r="104" ht="12.75" customHeight="1">
      <c r="A104" t="inlineStr">
        <is>
          <t>Gemini ปล่อย Lyria 3 โมเดลใหม่ใช้สร้างเพลง</t>
        </is>
      </c>
      <c r="B104" t="inlineStr">
        <is>
          <t>Nattida Suriyodara</t>
        </is>
      </c>
      <c r="C104" s="2">
        <v>46072</v>
      </c>
      <c r="D104" s="2">
        <v>46072</v>
      </c>
      <c r="E104"/>
      <c r="F104" s="3"/>
      <c r="G104"/>
      <c r="H104" t="inlineStr">
        <is>
          <t>Shorts, Website</t>
        </is>
      </c>
      <c r="I104" t="inlineStr">
        <is>
          <t>งานประจำวัน</t>
        </is>
      </c>
      <c r="J104" t="inlineStr">
        <is>
          <t>Done</t>
        </is>
      </c>
      <c r="K104"/>
      <c r="L104" s="3"/>
      <c r="M104"/>
      <c r="N104" t="inlineStr">
        <is>
          <t>AI</t>
        </is>
      </c>
      <c r="O104"/>
    </row>
    <row r="105" ht="12.75" customHeight="1">
      <c r="A105" t="inlineStr">
        <is>
          <t>iOS 26.4 เปิดให้ ChatGPT, Claude และ Gemini รองรับ CarPlay แล้ว!</t>
        </is>
      </c>
      <c r="B105" t="inlineStr">
        <is>
          <t>Thitirath Kinaret</t>
        </is>
      </c>
      <c r="C105" s="2">
        <v>46072</v>
      </c>
      <c r="D105" s="2">
        <v>46072</v>
      </c>
      <c r="E105"/>
      <c r="F105" s="3"/>
      <c r="G105"/>
      <c r="H105" t="inlineStr">
        <is>
          <t>Website, Pic Posts / Album</t>
        </is>
      </c>
      <c r="I105" t="inlineStr">
        <is>
          <t>งานประจำวัน</t>
        </is>
      </c>
      <c r="J105" t="inlineStr">
        <is>
          <t>Done</t>
        </is>
      </c>
      <c r="K105"/>
      <c r="L105" s="3"/>
      <c r="M105"/>
      <c r="N105" t="inlineStr">
        <is>
          <t>Apple</t>
        </is>
      </c>
      <c r="O105"/>
    </row>
    <row r="106" ht="12.75" customHeight="1">
      <c r="A106" t="inlineStr">
        <is>
          <t>ลือ! MacBook ราคาประหยัด มีสีสดใสเหมือนบัตรเชิญ</t>
        </is>
      </c>
      <c r="B106" t="inlineStr">
        <is>
          <t>Thitirath Kinaret</t>
        </is>
      </c>
      <c r="C106" s="2">
        <v>46072</v>
      </c>
      <c r="D106" s="2">
        <v>46072</v>
      </c>
      <c r="E106"/>
      <c r="F106" s="3"/>
      <c r="G106"/>
      <c r="H106" t="inlineStr">
        <is>
          <t>Pic Posts / Album, Website</t>
        </is>
      </c>
      <c r="I106" t="inlineStr">
        <is>
          <t>งานประจำวัน</t>
        </is>
      </c>
      <c r="J106" t="inlineStr">
        <is>
          <t>Done</t>
        </is>
      </c>
      <c r="K106"/>
      <c r="L106" s="3"/>
      <c r="M106"/>
      <c r="N106" t="inlineStr">
        <is>
          <t>Apple</t>
        </is>
      </c>
      <c r="O106"/>
    </row>
    <row r="107" ht="12.75" customHeight="1">
      <c r="A107" t="inlineStr">
        <is>
          <t>EA ยืนยัน ใช้ AI จำลองเสียงนักพากย์ ใน EA Sports FC เพื่อบันทึกชื่อผู้เล่น</t>
        </is>
      </c>
      <c r="B107" t="inlineStr">
        <is>
          <t>Thitirath Kinaret</t>
        </is>
      </c>
      <c r="C107" s="2">
        <v>46072</v>
      </c>
      <c r="D107" s="2">
        <v>46072</v>
      </c>
      <c r="E107"/>
      <c r="F107" s="3"/>
      <c r="G107"/>
      <c r="H107" t="inlineStr">
        <is>
          <t>Pic Posts / Album, Website</t>
        </is>
      </c>
      <c r="I107" t="inlineStr">
        <is>
          <t>งานประจำวัน</t>
        </is>
      </c>
      <c r="J107" t="inlineStr">
        <is>
          <t>Done</t>
        </is>
      </c>
      <c r="K107"/>
      <c r="L107" s="3"/>
      <c r="M107"/>
      <c r="N107" t="inlineStr">
        <is>
          <t>Tech</t>
        </is>
      </c>
      <c r="O107"/>
    </row>
    <row r="108" ht="12.75" customHeight="1">
      <c r="A108" t="inlineStr">
        <is>
          <t>iPhone 17 Pro Max สมาร์ตโฟนที่ถูกนำไป Trade-In มากที่สุด</t>
        </is>
      </c>
      <c r="B108" t="inlineStr">
        <is>
          <t>Thitirath Kinaret</t>
        </is>
      </c>
      <c r="C108" s="2">
        <v>46072</v>
      </c>
      <c r="D108" s="2">
        <v>46072</v>
      </c>
      <c r="E108"/>
      <c r="F108" s="3"/>
      <c r="G108"/>
      <c r="H108" t="inlineStr">
        <is>
          <t>Pic Posts / Album, Website</t>
        </is>
      </c>
      <c r="I108" t="inlineStr">
        <is>
          <t>งานประจำวัน</t>
        </is>
      </c>
      <c r="J108" t="inlineStr">
        <is>
          <t>Done</t>
        </is>
      </c>
      <c r="K108"/>
      <c r="L108" s="3"/>
      <c r="M108"/>
      <c r="N108" t="inlineStr">
        <is>
          <t>Apple</t>
        </is>
      </c>
      <c r="O108"/>
    </row>
    <row r="109" ht="12.75" customHeight="1">
      <c r="A109" t="inlineStr">
        <is>
          <t>YouTuber นำ จอ LCD มือถือเก่าสร้าง Bokeh แบบเคลื่อนไหวได้</t>
        </is>
      </c>
      <c r="B109" t="inlineStr">
        <is>
          <t>Thitirath Kinaret</t>
        </is>
      </c>
      <c r="C109" s="2">
        <v>46072</v>
      </c>
      <c r="D109" s="2">
        <v>46072</v>
      </c>
      <c r="E109"/>
      <c r="F109" s="3"/>
      <c r="G109"/>
      <c r="H109" t="inlineStr">
        <is>
          <t>Website, Pic Posts / Album</t>
        </is>
      </c>
      <c r="I109" t="inlineStr">
        <is>
          <t>งานประจำวัน</t>
        </is>
      </c>
      <c r="J109" t="inlineStr">
        <is>
          <t>Done</t>
        </is>
      </c>
      <c r="K109"/>
      <c r="L109" s="3"/>
      <c r="M109"/>
      <c r="N109" t="inlineStr">
        <is>
          <t>Tech</t>
        </is>
      </c>
      <c r="O109"/>
    </row>
    <row r="110" ht="12.75" customHeight="1">
      <c r="A110" t="inlineStr">
        <is>
          <t xml:space="preserve">(ตัดจากคลิปใหญ่) สิ่งที่ AI ไม่สามารถทำได้เหมือนกับคน </t>
        </is>
      </c>
      <c r="B110" t="inlineStr">
        <is>
          <t>Thitirath Kinaret,Nattida Suriyodara,Sasithakan Sritonthip</t>
        </is>
      </c>
      <c r="C110" s="2">
        <v>46071</v>
      </c>
      <c r="D110" s="2">
        <v>46071</v>
      </c>
      <c r="E110" t="inlineStr">
        <is>
          <t>ปกติ</t>
        </is>
      </c>
      <c r="F110" s="3" t="str">
        <f>=HYPERLINK("https://www.youtube.com/watch?v=GZ3R9Bn8Z60&amp;t=1413s", "https://www.youtube.com/watch?v=GZ3R9Bn8Z60&amp;t=1413s")</f>
        <v>https://www.youtube.com/watch?v=GZ3R9Bn8Z60&amp;t=1413s</v>
      </c>
      <c r="G110"/>
      <c r="H110" t="inlineStr">
        <is>
          <t>Shorts</t>
        </is>
      </c>
      <c r="I110" t="inlineStr">
        <is>
          <t>งานประจำวัน</t>
        </is>
      </c>
      <c r="J110" t="inlineStr">
        <is>
          <t>Done</t>
        </is>
      </c>
      <c r="K110"/>
      <c r="L110" s="3"/>
      <c r="M110" t="inlineStr">
        <is>
          <t>1</t>
        </is>
      </c>
      <c r="N110" t="inlineStr">
        <is>
          <t>AI</t>
        </is>
      </c>
      <c r="O110"/>
    </row>
    <row r="111" ht="12.75" customHeight="1">
      <c r="A111" t="inlineStr">
        <is>
          <t>Anthripic Sonnet 4.6</t>
        </is>
      </c>
      <c r="B111" t="inlineStr">
        <is>
          <t>Nattida Suriyodara</t>
        </is>
      </c>
      <c r="C111" s="2">
        <v>46071</v>
      </c>
      <c r="D111" s="2">
        <v>46071</v>
      </c>
      <c r="E111"/>
      <c r="F111" s="3"/>
      <c r="G111"/>
      <c r="H111" t="inlineStr">
        <is>
          <t>Website</t>
        </is>
      </c>
      <c r="I111" t="inlineStr">
        <is>
          <t>งานประจำวัน</t>
        </is>
      </c>
      <c r="J111" t="inlineStr">
        <is>
          <t>Done</t>
        </is>
      </c>
      <c r="K111"/>
      <c r="L111" s="3"/>
      <c r="M111"/>
      <c r="N111" t="inlineStr">
        <is>
          <t>AI</t>
        </is>
      </c>
      <c r="O111"/>
    </row>
    <row r="112" ht="12.75" customHeight="1">
      <c r="A112" t="inlineStr">
        <is>
          <t>Apple พัฒนา AI Wearable พร้อมกัน 3 ชิ้น</t>
        </is>
      </c>
      <c r="B112" t="inlineStr">
        <is>
          <t>Nattida Suriyodara</t>
        </is>
      </c>
      <c r="C112" s="2">
        <v>46071</v>
      </c>
      <c r="D112" s="2">
        <v>46071</v>
      </c>
      <c r="E112"/>
      <c r="F112" s="3"/>
      <c r="G112"/>
      <c r="H112" t="inlineStr">
        <is>
          <t>Website</t>
        </is>
      </c>
      <c r="I112" t="inlineStr">
        <is>
          <t>งานประจำวัน</t>
        </is>
      </c>
      <c r="J112" t="inlineStr">
        <is>
          <t>Done</t>
        </is>
      </c>
      <c r="K112"/>
      <c r="L112" s="3"/>
      <c r="M112"/>
      <c r="N112" t="inlineStr">
        <is>
          <t>AI</t>
        </is>
      </c>
      <c r="O112"/>
    </row>
    <row r="113" ht="12.75" customHeight="1">
      <c r="A113" t="inlineStr">
        <is>
          <t>Apple รับสายไลน์ Messenger ได้มั้ย</t>
        </is>
      </c>
      <c r="B113" t="inlineStr">
        <is>
          <t>Nattida Suriyodara</t>
        </is>
      </c>
      <c r="C113" s="2">
        <v>46071</v>
      </c>
      <c r="D113" s="2">
        <v>46071</v>
      </c>
      <c r="E113"/>
      <c r="F113" s="3"/>
      <c r="G113"/>
      <c r="H113" t="inlineStr">
        <is>
          <t>YouTube</t>
        </is>
      </c>
      <c r="I113" t="inlineStr">
        <is>
          <t>งานประจำวัน</t>
        </is>
      </c>
      <c r="J113" t="inlineStr">
        <is>
          <t>Done</t>
        </is>
      </c>
      <c r="K113"/>
      <c r="L113" s="3"/>
      <c r="M113"/>
      <c r="N113" t="inlineStr">
        <is>
          <t>Apple</t>
        </is>
      </c>
      <c r="O113"/>
    </row>
    <row r="114" ht="12.75" customHeight="1">
      <c r="A114" t="inlineStr">
        <is>
          <t>Google I/O 2026 จะจัดขึ้นวันที่ 19–20 พ.ค. นี้</t>
        </is>
      </c>
      <c r="B114" t="inlineStr">
        <is>
          <t>Sasithakan Sritonthip</t>
        </is>
      </c>
      <c r="C114" s="2">
        <v>46071</v>
      </c>
      <c r="D114" s="2">
        <v>46071</v>
      </c>
      <c r="E114" t="inlineStr">
        <is>
          <t>ปกติ</t>
        </is>
      </c>
      <c r="F114" s="3" t="str">
        <f>=HYPERLINK("https://9to5google.com/2026/02/17/google-io-2026-date/", "https://9to5google.com/2026/02/17/google-io-2026-date/")</f>
        <v>https://9to5google.com/2026/02/17/google-io-2026-date/</v>
      </c>
      <c r="G114"/>
      <c r="H114" t="inlineStr">
        <is>
          <t>Website</t>
        </is>
      </c>
      <c r="I114" t="inlineStr">
        <is>
          <t>งานประจำวัน</t>
        </is>
      </c>
      <c r="J114" t="inlineStr">
        <is>
          <t>Done</t>
        </is>
      </c>
      <c r="K114"/>
      <c r="L114" s="3" t="str">
        <f>=HYPERLINK("https://www.iphonemod.net/google-io-2026-date-may-19-20.html", "https://www.iphonemod.net/google-io-2026-date-may-19-20.html")</f>
        <v>https://www.iphonemod.net/google-io-2026-date-may-19-20.html</v>
      </c>
      <c r="M114" t="inlineStr">
        <is>
          <t>1</t>
        </is>
      </c>
      <c r="N114" t="inlineStr">
        <is>
          <t>Tech</t>
        </is>
      </c>
      <c r="O114"/>
    </row>
    <row r="115" ht="12.75" customHeight="1">
      <c r="A115" t="inlineStr">
        <is>
          <t>ตำรวจเตือนหยุดใช้ AI ปั่น</t>
        </is>
      </c>
      <c r="B115" t="inlineStr">
        <is>
          <t>Nattida Suriyodara</t>
        </is>
      </c>
      <c r="C115" s="2">
        <v>46071</v>
      </c>
      <c r="D115" s="2">
        <v>46071</v>
      </c>
      <c r="E115"/>
      <c r="F115" s="3"/>
      <c r="G115"/>
      <c r="H115" t="inlineStr">
        <is>
          <t>Shorts</t>
        </is>
      </c>
      <c r="I115" t="inlineStr">
        <is>
          <t>งานประจำวัน</t>
        </is>
      </c>
      <c r="J115" t="inlineStr">
        <is>
          <t>Done</t>
        </is>
      </c>
      <c r="K115"/>
      <c r="L115" s="3"/>
      <c r="M115"/>
      <c r="N115" t="inlineStr">
        <is>
          <t>AI</t>
        </is>
      </c>
      <c r="O115"/>
    </row>
    <row r="116" ht="12.75" customHeight="1">
      <c r="A116" t="inlineStr">
        <is>
          <t>Unitree หุ่นยนต์ฮิวแมนอยด์ โชว์กังฟูสุดล้ำ ในเทศกาลตรุษจีน 2026</t>
        </is>
      </c>
      <c r="B116" t="inlineStr">
        <is>
          <t>Krongkwun  Rithiwong</t>
        </is>
      </c>
      <c r="C116" s="2">
        <v>46071</v>
      </c>
      <c r="D116" s="2">
        <v>46072</v>
      </c>
      <c r="E116" t="inlineStr">
        <is>
          <t>ปกติ</t>
        </is>
      </c>
      <c r="F116" s="3"/>
      <c r="G116"/>
      <c r="H116" t="inlineStr">
        <is>
          <t>Shorts</t>
        </is>
      </c>
      <c r="I116" t="inlineStr">
        <is>
          <t>งานประจำวัน</t>
        </is>
      </c>
      <c r="J116" t="inlineStr">
        <is>
          <t>Done</t>
        </is>
      </c>
      <c r="K116"/>
      <c r="L116" s="3"/>
      <c r="M116" t="inlineStr">
        <is>
          <t>1</t>
        </is>
      </c>
      <c r="N116" t="inlineStr">
        <is>
          <t>AI</t>
        </is>
      </c>
      <c r="O116"/>
    </row>
    <row r="117" ht="12.75" customHeight="1">
      <c r="A117" t="inlineStr">
        <is>
          <t>Pixel 9 รองรับ AirDrop แชร์ไฟล์กับ iPhone ได้แล้ว</t>
        </is>
      </c>
      <c r="B117" t="inlineStr">
        <is>
          <t>Thitirath Kinaret</t>
        </is>
      </c>
      <c r="C117" s="2">
        <v>46071</v>
      </c>
      <c r="D117" s="2">
        <v>46071</v>
      </c>
      <c r="E117"/>
      <c r="F117" s="3"/>
      <c r="G117"/>
      <c r="H117" t="inlineStr">
        <is>
          <t>Website</t>
        </is>
      </c>
      <c r="I117" t="inlineStr">
        <is>
          <t>งานประจำวัน</t>
        </is>
      </c>
      <c r="J117" t="inlineStr">
        <is>
          <t>Done</t>
        </is>
      </c>
      <c r="K117"/>
      <c r="L117" s="3"/>
      <c r="M117"/>
      <c r="N117" t="inlineStr">
        <is>
          <t>Apple, Android</t>
        </is>
      </c>
      <c r="O117"/>
    </row>
    <row r="118" ht="12.75" customHeight="1">
      <c r="A118" t="inlineStr">
        <is>
          <t>ลือ! Apple อาจเปิดตัวสินค้ารายวันผ่าน Newsroom ก่อนเชิญสื่อไป Hands-On วันที่ 4 มี.ค. 202</t>
        </is>
      </c>
      <c r="B118" t="inlineStr">
        <is>
          <t>Thitirath Kinaret</t>
        </is>
      </c>
      <c r="C118" s="2">
        <v>46071</v>
      </c>
      <c r="D118" s="2">
        <v>46071</v>
      </c>
      <c r="E118"/>
      <c r="F118" s="3"/>
      <c r="G118"/>
      <c r="H118" t="inlineStr">
        <is>
          <t>Website, Pic Posts / Album</t>
        </is>
      </c>
      <c r="I118" t="inlineStr">
        <is>
          <t>งานประจำวัน</t>
        </is>
      </c>
      <c r="J118" t="inlineStr">
        <is>
          <t>Done</t>
        </is>
      </c>
      <c r="K118"/>
      <c r="L118" s="3"/>
      <c r="M118"/>
      <c r="N118" t="inlineStr">
        <is>
          <t>Apple</t>
        </is>
      </c>
      <c r="O118"/>
    </row>
    <row r="119" ht="12.75" customHeight="1">
      <c r="A119" t="inlineStr">
        <is>
          <t>iPad 12 ชิป A18 รองรับ Apple Intelligence อาจเปิดตัว เร็ว ๆ นี้</t>
        </is>
      </c>
      <c r="B119" t="inlineStr">
        <is>
          <t>Thitirath Kinaret</t>
        </is>
      </c>
      <c r="C119" s="2">
        <v>46071</v>
      </c>
      <c r="D119" s="2">
        <v>46071</v>
      </c>
      <c r="E119"/>
      <c r="F119" s="3"/>
      <c r="G119"/>
      <c r="H119" t="inlineStr">
        <is>
          <t>Pic Posts / Album, Website</t>
        </is>
      </c>
      <c r="I119" t="inlineStr">
        <is>
          <t>งานประจำวัน</t>
        </is>
      </c>
      <c r="J119" t="inlineStr">
        <is>
          <t>Done</t>
        </is>
      </c>
      <c r="K119"/>
      <c r="L119" s="3"/>
      <c r="M119"/>
      <c r="N119" t="inlineStr">
        <is>
          <t>Apple</t>
        </is>
      </c>
      <c r="O119"/>
    </row>
    <row r="120" ht="12.75" customHeight="1">
      <c r="A120" t="inlineStr">
        <is>
          <t>Unitree หุ่นยนต์ฮิวแมนอยด์ โชว์กังฟูสุดล้ำ ในเทศกาลตรุษจีน 2026</t>
        </is>
      </c>
      <c r="B120" t="inlineStr">
        <is>
          <t>Thitirath Kinaret</t>
        </is>
      </c>
      <c r="C120" s="2">
        <v>46071</v>
      </c>
      <c r="D120" s="2">
        <v>46071</v>
      </c>
      <c r="E120"/>
      <c r="F120" s="3"/>
      <c r="G120"/>
      <c r="H120" t="inlineStr">
        <is>
          <t>Website, Pic Posts / Album</t>
        </is>
      </c>
      <c r="I120" t="inlineStr">
        <is>
          <t>งานประจำวัน</t>
        </is>
      </c>
      <c r="J120" t="inlineStr">
        <is>
          <t>Done</t>
        </is>
      </c>
      <c r="K120"/>
      <c r="L120" s="3"/>
      <c r="M120"/>
      <c r="N120" t="inlineStr">
        <is>
          <t>Tech</t>
        </is>
      </c>
      <c r="O120"/>
    </row>
    <row r="121" ht="12.75" customHeight="1">
      <c r="A121" t="inlineStr">
        <is>
          <t>สำนักงานตำรวจแห่งชาติโพสต์เตือน ใช้ AI สร้างคอนเทนต์ปั่น สร้างข่าวปลอม ข่าวป่วน เสี่ยงผิดกฎหมายร้ายแรง</t>
        </is>
      </c>
      <c r="B121" t="inlineStr">
        <is>
          <t>Thitirath Kinaret</t>
        </is>
      </c>
      <c r="C121" s="2">
        <v>46071</v>
      </c>
      <c r="D121" s="2">
        <v>46071</v>
      </c>
      <c r="E121"/>
      <c r="F121" s="3"/>
      <c r="G121"/>
      <c r="H121" t="inlineStr">
        <is>
          <t>Pic Posts / Album</t>
        </is>
      </c>
      <c r="I121" t="inlineStr">
        <is>
          <t>งานประจำวัน</t>
        </is>
      </c>
      <c r="J121" t="inlineStr">
        <is>
          <t>Done</t>
        </is>
      </c>
      <c r="K121"/>
      <c r="L121" s="3"/>
      <c r="M121"/>
      <c r="N121" t="inlineStr">
        <is>
          <t>ทั่วไป</t>
        </is>
      </c>
      <c r="O121"/>
    </row>
    <row r="122" ht="12.75" customHeight="1">
      <c r="A122" t="inlineStr">
        <is>
          <t xml:space="preserve">วิธีชำระภาษีรถผ่านแอป DLT Vehicle Tax Plus </t>
        </is>
      </c>
      <c r="B122" t="inlineStr">
        <is>
          <t>Thitirath Kinaret</t>
        </is>
      </c>
      <c r="C122" s="2">
        <v>46071</v>
      </c>
      <c r="D122" s="2">
        <v>46071</v>
      </c>
      <c r="E122"/>
      <c r="F122" s="3"/>
      <c r="G122"/>
      <c r="H122" t="inlineStr">
        <is>
          <t>Pic Posts / Album</t>
        </is>
      </c>
      <c r="I122" t="inlineStr">
        <is>
          <t>งานประจำวัน</t>
        </is>
      </c>
      <c r="J122" t="inlineStr">
        <is>
          <t>Done</t>
        </is>
      </c>
      <c r="K122"/>
      <c r="L122" s="3"/>
      <c r="M122"/>
      <c r="N122" t="inlineStr">
        <is>
          <t>ทั่วไป</t>
        </is>
      </c>
      <c r="O122"/>
    </row>
    <row r="123" ht="12.75" customHeight="1">
      <c r="A123" t="inlineStr">
        <is>
          <t>EU เปิดสอบ X รอบ 2</t>
        </is>
      </c>
      <c r="B123" t="inlineStr">
        <is>
          <t>Krongkwun  Rithiwong</t>
        </is>
      </c>
      <c r="C123" s="2">
        <v>46071</v>
      </c>
      <c r="D123" s="2">
        <v>46099</v>
      </c>
      <c r="E123" t="inlineStr">
        <is>
          <t>ปกติ</t>
        </is>
      </c>
      <c r="F123" s="3" t="str">
        <f>=HYPERLINK("https://www.iphonemod.net/eu-investigates-x-grok-nonconsensual-images.html", "https://www.iphonemod.net/eu-investigates-x-grok-nonconsensual-images.html")</f>
        <v>https://www.iphonemod.net/eu-investigates-x-grok-nonconsensual-images.html</v>
      </c>
      <c r="G123"/>
      <c r="H123" t="inlineStr">
        <is>
          <t>Website</t>
        </is>
      </c>
      <c r="I123" t="inlineStr">
        <is>
          <t>งานประจำวัน</t>
        </is>
      </c>
      <c r="J123" t="inlineStr">
        <is>
          <t>Done</t>
        </is>
      </c>
      <c r="K123"/>
      <c r="L123" s="3"/>
      <c r="M123" t="inlineStr">
        <is>
          <t>1</t>
        </is>
      </c>
      <c r="N123" t="inlineStr">
        <is>
          <t>AI, Tech</t>
        </is>
      </c>
      <c r="O123"/>
    </row>
    <row r="124" ht="12.75" customHeight="1">
      <c r="A124" t="inlineStr">
        <is>
          <t>Meta บอกว่า ติดโซเชียลไม่ได้จริง</t>
        </is>
      </c>
      <c r="B124" t="inlineStr">
        <is>
          <t>Krongkwun  Rithiwong</t>
        </is>
      </c>
      <c r="C124" s="2">
        <v>46071</v>
      </c>
      <c r="D124" s="2">
        <v>46071</v>
      </c>
      <c r="E124" t="inlineStr">
        <is>
          <t>ปกติ</t>
        </is>
      </c>
      <c r="F124" s="3" t="str">
        <f>=HYPERLINK("https://www.iphonemod.net/meta-social-media-addiction-not-real-court.html", "https://www.iphonemod.net/meta-social-media-addiction-not-real-court.html")</f>
        <v>https://www.iphonemod.net/meta-social-media-addiction-not-real-court.html</v>
      </c>
      <c r="G124"/>
      <c r="H124" t="inlineStr">
        <is>
          <t>Website</t>
        </is>
      </c>
      <c r="I124" t="inlineStr">
        <is>
          <t>งานประจำวัน</t>
        </is>
      </c>
      <c r="J124" t="inlineStr">
        <is>
          <t>Done</t>
        </is>
      </c>
      <c r="K124"/>
      <c r="L124" s="3"/>
      <c r="M124" t="inlineStr">
        <is>
          <t>1</t>
        </is>
      </c>
      <c r="N124" t="inlineStr">
        <is>
          <t>Tech</t>
        </is>
      </c>
      <c r="O124"/>
    </row>
    <row r="125" ht="12.75" customHeight="1">
      <c r="A125" t="inlineStr">
        <is>
          <t>URBN กำลังทดสอบใช้ระบบ Agentic AI ทำรายงานรีเทลอัตโนมัติ</t>
        </is>
      </c>
      <c r="B125" t="inlineStr">
        <is>
          <t>Nattida Suriyodara</t>
        </is>
      </c>
      <c r="C125" s="2">
        <v>46070</v>
      </c>
      <c r="D125" s="2">
        <v>46070</v>
      </c>
      <c r="E125"/>
      <c r="F125" s="3"/>
      <c r="G125"/>
      <c r="H125" t="inlineStr">
        <is>
          <t>Website</t>
        </is>
      </c>
      <c r="I125" t="inlineStr">
        <is>
          <t>งานประจำวัน</t>
        </is>
      </c>
      <c r="J125" t="inlineStr">
        <is>
          <t>Done</t>
        </is>
      </c>
      <c r="K125"/>
      <c r="L125" s="3"/>
      <c r="M125"/>
      <c r="N125" t="inlineStr">
        <is>
          <t>AI</t>
        </is>
      </c>
      <c r="O125"/>
    </row>
    <row r="126" ht="12.75" customHeight="1">
      <c r="A126" t="inlineStr">
        <is>
          <t>(ตัดจากคลิปใหญ่) Apple จัดงาน Event 4 มี.ค. 69</t>
        </is>
      </c>
      <c r="B126" t="inlineStr">
        <is>
          <t>Thitirath Kinaret,Sasithakan Sritonthip</t>
        </is>
      </c>
      <c r="C126" s="2">
        <v>46070</v>
      </c>
      <c r="D126" s="2">
        <v>46070</v>
      </c>
      <c r="E126" t="inlineStr">
        <is>
          <t>ปกติ</t>
        </is>
      </c>
      <c r="F126" s="3" t="str">
        <f>=HYPERLINK("https://www.youtube.com/watch?v=GKFKfhOr9Gg&amp;t=37s", "https://www.youtube.com/watch?v=GKFKfhOr9Gg&amp;t=37s")</f>
        <v>https://www.youtube.com/watch?v=GKFKfhOr9Gg&amp;t=37s</v>
      </c>
      <c r="G126"/>
      <c r="H126" t="inlineStr">
        <is>
          <t>Shorts</t>
        </is>
      </c>
      <c r="I126" t="inlineStr">
        <is>
          <t>งานประจำวัน</t>
        </is>
      </c>
      <c r="J126" t="inlineStr">
        <is>
          <t>Done</t>
        </is>
      </c>
      <c r="K126"/>
      <c r="L126" s="3"/>
      <c r="M126" t="inlineStr">
        <is>
          <t>1</t>
        </is>
      </c>
      <c r="N126" t="inlineStr">
        <is>
          <t>Apple</t>
        </is>
      </c>
      <c r="O126"/>
    </row>
    <row r="127" ht="12.75" customHeight="1">
      <c r="A127" t="inlineStr">
        <is>
          <t xml:space="preserve">วิธีใส่สาย Apple Watch </t>
        </is>
      </c>
      <c r="B127" t="inlineStr">
        <is>
          <t>Nattida Suriyodara</t>
        </is>
      </c>
      <c r="C127" s="2">
        <v>46070</v>
      </c>
      <c r="D127" s="2">
        <v>46070</v>
      </c>
      <c r="E127"/>
      <c r="F127" s="3"/>
      <c r="G127"/>
      <c r="H127" t="inlineStr">
        <is>
          <t>Shorts</t>
        </is>
      </c>
      <c r="I127" t="inlineStr">
        <is>
          <t>งานประจำวัน</t>
        </is>
      </c>
      <c r="J127" t="inlineStr">
        <is>
          <t>Done</t>
        </is>
      </c>
      <c r="K127"/>
      <c r="L127" s="3"/>
      <c r="M127"/>
      <c r="N127" t="inlineStr">
        <is>
          <t>Apple</t>
        </is>
      </c>
      <c r="O127"/>
    </row>
    <row r="128" ht="12.75" customHeight="1">
      <c r="A128" t="inlineStr">
        <is>
          <t>Apple เชิญบางสื่อเข้าร่วมงาน Special Apple Experience วันที่ 4 มี.ค. 2026</t>
        </is>
      </c>
      <c r="B128" t="inlineStr">
        <is>
          <t>Thitirath Kinaret</t>
        </is>
      </c>
      <c r="C128" s="2">
        <v>46070</v>
      </c>
      <c r="D128" s="2">
        <v>46070</v>
      </c>
      <c r="E128"/>
      <c r="F128" s="3"/>
      <c r="G128"/>
      <c r="H128" t="inlineStr">
        <is>
          <t>YouTube, Pic Posts / Album, Website</t>
        </is>
      </c>
      <c r="I128" t="inlineStr">
        <is>
          <t>งานประจำวัน</t>
        </is>
      </c>
      <c r="J128" t="inlineStr">
        <is>
          <t>Done</t>
        </is>
      </c>
      <c r="K128"/>
      <c r="L128" s="3"/>
      <c r="M128"/>
      <c r="N128" t="inlineStr">
        <is>
          <t>Apple</t>
        </is>
      </c>
      <c r="O128"/>
    </row>
    <row r="129" ht="12.75" customHeight="1">
      <c r="A129" t="inlineStr">
        <is>
          <t>Apple ปล่อย iOS 26.4 Beta 1 ให้ทดสอบ</t>
        </is>
      </c>
      <c r="B129" t="inlineStr">
        <is>
          <t>Thitirath Kinaret</t>
        </is>
      </c>
      <c r="C129" s="2">
        <v>46070</v>
      </c>
      <c r="D129" s="2">
        <v>46070</v>
      </c>
      <c r="E129"/>
      <c r="F129" s="3"/>
      <c r="G129"/>
      <c r="H129" t="inlineStr">
        <is>
          <t>Website, YouTube</t>
        </is>
      </c>
      <c r="I129" t="inlineStr">
        <is>
          <t>งานประจำวัน</t>
        </is>
      </c>
      <c r="J129" t="inlineStr">
        <is>
          <t>Done</t>
        </is>
      </c>
      <c r="K129"/>
      <c r="L129" s="3"/>
      <c r="M129"/>
      <c r="N129" t="inlineStr">
        <is>
          <t>Apple</t>
        </is>
      </c>
      <c r="O129"/>
    </row>
    <row r="130" ht="12.75" customHeight="1">
      <c r="A130" t="inlineStr">
        <is>
          <t>macOS Tahoe 26.4 จะเป็นเวอร์ชันสุดท้ายที่รองรับ Intel Mac</t>
        </is>
      </c>
      <c r="B130" t="inlineStr">
        <is>
          <t>Thitirath Kinaret</t>
        </is>
      </c>
      <c r="C130" s="2">
        <v>46070</v>
      </c>
      <c r="D130" s="2">
        <v>46070</v>
      </c>
      <c r="E130"/>
      <c r="F130" s="3"/>
      <c r="G130"/>
      <c r="H130" t="inlineStr">
        <is>
          <t>Pic Posts / Album, Website</t>
        </is>
      </c>
      <c r="I130" t="inlineStr">
        <is>
          <t>งานประจำวัน</t>
        </is>
      </c>
      <c r="J130" t="inlineStr">
        <is>
          <t>Done</t>
        </is>
      </c>
      <c r="K130"/>
      <c r="L130" s="3"/>
      <c r="M130"/>
      <c r="N130" t="inlineStr">
        <is>
          <t>Apple</t>
        </is>
      </c>
      <c r="O130"/>
    </row>
    <row r="131" ht="12.75" customHeight="1">
      <c r="A131" t="inlineStr">
        <is>
          <t>Apple อาจไม่ อัปเกรด iPad Pro ครั้งใหญ่ อีกหลายปี</t>
        </is>
      </c>
      <c r="B131" t="inlineStr">
        <is>
          <t>Thitirath Kinaret</t>
        </is>
      </c>
      <c r="C131" s="2">
        <v>46070</v>
      </c>
      <c r="D131" s="2">
        <v>46070</v>
      </c>
      <c r="E131"/>
      <c r="F131" s="3"/>
      <c r="G131"/>
      <c r="H131" t="inlineStr">
        <is>
          <t>Pic Posts / Album, Website</t>
        </is>
      </c>
      <c r="I131" t="inlineStr">
        <is>
          <t>งานประจำวัน</t>
        </is>
      </c>
      <c r="J131" t="inlineStr">
        <is>
          <t>Done</t>
        </is>
      </c>
      <c r="K131"/>
      <c r="L131" s="3"/>
      <c r="M131"/>
      <c r="N131" t="inlineStr">
        <is>
          <t>Apple</t>
        </is>
      </c>
      <c r="O131"/>
    </row>
    <row r="132" ht="12.75" customHeight="1">
      <c r="A132" t="inlineStr">
        <is>
          <t>iOS 26.4 เตรียมรองรับ CarPlay Video ดู Apple TV ในรถได้</t>
        </is>
      </c>
      <c r="B132" t="inlineStr">
        <is>
          <t>Thitirath Kinaret</t>
        </is>
      </c>
      <c r="C132" s="2">
        <v>46070</v>
      </c>
      <c r="D132" s="2">
        <v>46070</v>
      </c>
      <c r="E132"/>
      <c r="F132" s="3"/>
      <c r="G132"/>
      <c r="H132" t="inlineStr">
        <is>
          <t>Website, Pic Posts / Album</t>
        </is>
      </c>
      <c r="I132" t="inlineStr">
        <is>
          <t>งานประจำวัน</t>
        </is>
      </c>
      <c r="J132" t="inlineStr">
        <is>
          <t>Done</t>
        </is>
      </c>
      <c r="K132"/>
      <c r="L132" s="3"/>
      <c r="M132"/>
      <c r="N132" t="inlineStr">
        <is>
          <t>Apple</t>
        </is>
      </c>
      <c r="O132"/>
    </row>
    <row r="133" ht="12.75" customHeight="1">
      <c r="A133" t="inlineStr">
        <is>
          <t>Ultra Human Ring Pro</t>
        </is>
      </c>
      <c r="B133" t="inlineStr">
        <is>
          <t>Krongkwun  Rithiwong</t>
        </is>
      </c>
      <c r="C133" s="2">
        <v>46070</v>
      </c>
      <c r="D133" s="2">
        <v>46070</v>
      </c>
      <c r="E133" t="inlineStr">
        <is>
          <t>ปกติ</t>
        </is>
      </c>
      <c r="F133" s="3" t="str">
        <f>=HYPERLINK("https://www.iphonemod.net/ultrahuman-ring-pro-fcc-leak-march-april-2026-2.html", "https://www.iphonemod.net/ultrahuman-ring-pro-fcc-leak-march-april-2026-2.html")</f>
        <v>https://www.iphonemod.net/ultrahuman-ring-pro-fcc-leak-march-april-2026-2.html</v>
      </c>
      <c r="G133"/>
      <c r="H133" t="inlineStr">
        <is>
          <t>Website</t>
        </is>
      </c>
      <c r="I133" t="inlineStr">
        <is>
          <t>งานประจำวัน</t>
        </is>
      </c>
      <c r="J133" t="inlineStr">
        <is>
          <t>Done</t>
        </is>
      </c>
      <c r="K133"/>
      <c r="L133" s="3"/>
      <c r="M133" t="inlineStr">
        <is>
          <t>1</t>
        </is>
      </c>
      <c r="N133" t="inlineStr">
        <is>
          <t>Tech</t>
        </is>
      </c>
      <c r="O133"/>
    </row>
    <row r="134" ht="12.75" customHeight="1">
      <c r="A134" t="inlineStr">
        <is>
          <t>Meta หลังความตาย</t>
        </is>
      </c>
      <c r="B134" t="inlineStr">
        <is>
          <t>Krongkwun  Rithiwong</t>
        </is>
      </c>
      <c r="C134" s="2">
        <v>46070</v>
      </c>
      <c r="D134" s="2">
        <v>46070</v>
      </c>
      <c r="E134" t="inlineStr">
        <is>
          <t>ปกติ</t>
        </is>
      </c>
      <c r="F134" s="3" t="str">
        <f>=HYPERLINK("https://www.iphonemod.net/are-you-ready-for-digital-eternal-life-meta-patents-ai-that-can-post-after-you-die.html", "https://www.iphonemod.net/are-you-ready-for-digital-eternal-life-meta-patents-ai-that-can-post-after-you-die.html")</f>
        <v>https://www.iphonemod.net/are-you-ready-for-digital-eternal-life-meta-patents-ai-that-can-post-after-you-die.html</v>
      </c>
      <c r="G134"/>
      <c r="H134" t="inlineStr">
        <is>
          <t>Website</t>
        </is>
      </c>
      <c r="I134" t="inlineStr">
        <is>
          <t>งานประจำวัน</t>
        </is>
      </c>
      <c r="J134" t="inlineStr">
        <is>
          <t>Done</t>
        </is>
      </c>
      <c r="K134"/>
      <c r="L134" s="3"/>
      <c r="M134" t="inlineStr">
        <is>
          <t>1</t>
        </is>
      </c>
      <c r="N134" t="inlineStr">
        <is>
          <t>Tech, AI</t>
        </is>
      </c>
      <c r="O134"/>
    </row>
    <row r="135" ht="12.75" customHeight="1">
      <c r="A135" t="inlineStr">
        <is>
          <t>Apple และ Google เปลี่ยนกฏ App Store ตามแรงกดดันของสหราชอาณาจักร</t>
        </is>
      </c>
      <c r="B135" t="inlineStr">
        <is>
          <t>Krongkwun  Rithiwong</t>
        </is>
      </c>
      <c r="C135" s="2">
        <v>46070</v>
      </c>
      <c r="D135" s="2">
        <v>46070</v>
      </c>
      <c r="E135" t="inlineStr">
        <is>
          <t>ปกติ</t>
        </is>
      </c>
      <c r="F135" s="3" t="str">
        <f>=HYPERLINK("https://www.iphonemod.net/under-uk-pressure-apple-and-google-agree-to-change-app-store-rules.html", "https://www.iphonemod.net/under-uk-pressure-apple-and-google-agree-to-change-app-store-rules.html")</f>
        <v>https://www.iphonemod.net/under-uk-pressure-apple-and-google-agree-to-change-app-store-rules.html</v>
      </c>
      <c r="G135"/>
      <c r="H135" t="inlineStr">
        <is>
          <t>Website</t>
        </is>
      </c>
      <c r="I135" t="inlineStr">
        <is>
          <t>งานประจำวัน</t>
        </is>
      </c>
      <c r="J135" t="inlineStr">
        <is>
          <t>Done</t>
        </is>
      </c>
      <c r="K135"/>
      <c r="L135" s="3"/>
      <c r="M135" t="inlineStr">
        <is>
          <t>1</t>
        </is>
      </c>
      <c r="N135" t="inlineStr">
        <is>
          <t>Tech</t>
        </is>
      </c>
      <c r="O135"/>
    </row>
    <row r="136" ht="12.75" customHeight="1">
      <c r="A136" t="inlineStr">
        <is>
          <t>Apple อาจเลิกใช้แบรนด์ iWork หลังเปิดให้บริการ Apple Creator Studio</t>
        </is>
      </c>
      <c r="B136" t="inlineStr">
        <is>
          <t>Sasithakan Sritonthip</t>
        </is>
      </c>
      <c r="C136" s="2">
        <v>46069</v>
      </c>
      <c r="D136" s="2">
        <v>46069</v>
      </c>
      <c r="E136" t="inlineStr">
        <is>
          <t>ปกติ</t>
        </is>
      </c>
      <c r="F136" s="3" t="str">
        <f>=HYPERLINK("https://www.macrumors.com/2026/02/13/apple-iwork-website-removed/", "https://www.macrumors.com/2026/02/13/apple-iwork-website-removed/")</f>
        <v>https://www.macrumors.com/2026/02/13/apple-iwork-website-removed/</v>
      </c>
      <c r="G136"/>
      <c r="H136" t="inlineStr">
        <is>
          <t>Website</t>
        </is>
      </c>
      <c r="I136" t="inlineStr">
        <is>
          <t>งานประจำวัน</t>
        </is>
      </c>
      <c r="J136" t="inlineStr">
        <is>
          <t>Done</t>
        </is>
      </c>
      <c r="K136"/>
      <c r="L136" s="3" t="str">
        <f>=HYPERLINK("https://www.iphonemod.net/is-apple-phasing-out-the-iwork-brand.html", "https://www.iphonemod.net/is-apple-phasing-out-the-iwork-brand.html")</f>
        <v>https://www.iphonemod.net/is-apple-phasing-out-the-iwork-brand.html</v>
      </c>
      <c r="M136" t="inlineStr">
        <is>
          <t>1</t>
        </is>
      </c>
      <c r="N136" t="inlineStr">
        <is>
          <t>Apple</t>
        </is>
      </c>
      <c r="O136"/>
    </row>
    <row r="137" ht="12.75" customHeight="1">
      <c r="A137" t="inlineStr">
        <is>
          <t>Apple เตรียมเปิดตัวแอป "Sales Coach" เวอร์ชันใหม่</t>
        </is>
      </c>
      <c r="B137" t="inlineStr">
        <is>
          <t>Sasithakan Sritonthip</t>
        </is>
      </c>
      <c r="C137" s="2">
        <v>46069</v>
      </c>
      <c r="D137" s="2">
        <v>46069</v>
      </c>
      <c r="E137" t="inlineStr">
        <is>
          <t>ปกติ</t>
        </is>
      </c>
      <c r="F137" s="3" t="str">
        <f>=HYPERLINK("https://www.macrumors.com/2026/02/13/apple-launching-sales-coach-app/", "https://www.macrumors.com/2026/02/13/apple-launching-sales-coach-app/")</f>
        <v>https://www.macrumors.com/2026/02/13/apple-launching-sales-coach-app/</v>
      </c>
      <c r="G137"/>
      <c r="H137" t="inlineStr">
        <is>
          <t>Website</t>
        </is>
      </c>
      <c r="I137" t="inlineStr">
        <is>
          <t>งานประจำวัน</t>
        </is>
      </c>
      <c r="J137" t="inlineStr">
        <is>
          <t>Done</t>
        </is>
      </c>
      <c r="K137"/>
      <c r="L137" s="3" t="str">
        <f>=HYPERLINK("https://www.iphonemod.net/apple-launching-new-sales-coach-app.html", "https://www.iphonemod.net/apple-launching-new-sales-coach-app.html")</f>
        <v>https://www.iphonemod.net/apple-launching-new-sales-coach-app.html</v>
      </c>
      <c r="M137" t="inlineStr">
        <is>
          <t>1</t>
        </is>
      </c>
      <c r="N137" t="inlineStr">
        <is>
          <t>Apple</t>
        </is>
      </c>
      <c r="O137"/>
    </row>
    <row r="138" ht="12.75" customHeight="1">
      <c r="A138" t="inlineStr">
        <is>
          <t>Sony เปิดตัว WH-1000XM6 สีใหม่ Sand Pink</t>
        </is>
      </c>
      <c r="B138" t="inlineStr">
        <is>
          <t>Sasithakan Sritonthip</t>
        </is>
      </c>
      <c r="C138" s="2">
        <v>46069</v>
      </c>
      <c r="D138" s="2">
        <v>46069</v>
      </c>
      <c r="E138" t="inlineStr">
        <is>
          <t>ปกติ</t>
        </is>
      </c>
      <c r="F138" s="3" t="str">
        <f>=HYPERLINK("https://9to5toys.com/2026/02/12/sony-debuts-new-sand-pink-wh-1000xm6/", "https://9to5toys.com/2026/02/12/sony-debuts-new-sand-pink-wh-1000xm6/")</f>
        <v>https://9to5toys.com/2026/02/12/sony-debuts-new-sand-pink-wh-1000xm6/</v>
      </c>
      <c r="G138"/>
      <c r="H138" t="inlineStr">
        <is>
          <t>Website</t>
        </is>
      </c>
      <c r="I138" t="inlineStr">
        <is>
          <t>งานประจำวัน</t>
        </is>
      </c>
      <c r="J138" t="inlineStr">
        <is>
          <t>Done</t>
        </is>
      </c>
      <c r="K138" t="inlineStr">
        <is>
          <t>https://www.iphonemod.net/sony-wh-1000xm6-sand-pink-color-launch.html</t>
        </is>
      </c>
      <c r="L138" s="3"/>
      <c r="M138" t="inlineStr">
        <is>
          <t>1</t>
        </is>
      </c>
      <c r="N138" t="inlineStr">
        <is>
          <t>Tech</t>
        </is>
      </c>
      <c r="O138"/>
    </row>
    <row r="139" ht="12.75" customHeight="1">
      <c r="A139" t="inlineStr">
        <is>
          <t>DroidUp เปิดตัว “Moya” หุ่นยนต์ AI จำลองที่เหมือนมนุษย์มากถึง 92%</t>
        </is>
      </c>
      <c r="B139" t="inlineStr">
        <is>
          <t>Sasithakan Sritonthip</t>
        </is>
      </c>
      <c r="C139" s="2">
        <v>46069</v>
      </c>
      <c r="D139" s="2">
        <v>46069</v>
      </c>
      <c r="E139" t="inlineStr">
        <is>
          <t>ปกติ</t>
        </is>
      </c>
      <c r="F139" s="3" t="str">
        <f>=HYPERLINK("https://interestingengineering.com/ai-robotics/shanghai-unveils-moya-humanoid-robot", "https://interestingengineering.com/ai-robotics/shanghai-unveils-moya-humanoid-robot")</f>
        <v>https://interestingengineering.com/ai-robotics/shanghai-unveils-moya-humanoid-robot</v>
      </c>
      <c r="G139"/>
      <c r="H139" t="inlineStr">
        <is>
          <t>Website</t>
        </is>
      </c>
      <c r="I139" t="inlineStr">
        <is>
          <t>งานประจำวัน</t>
        </is>
      </c>
      <c r="J139" t="inlineStr">
        <is>
          <t>Done</t>
        </is>
      </c>
      <c r="K139"/>
      <c r="L139" s="3" t="str">
        <f>=HYPERLINK("https://www.iphonemod.net/worlds-first-biomimetic-ai-robot-moya-debuts-with-92-human-like-walking-accuracy.html", "https://www.iphonemod.net/worlds-first-biomimetic-ai-robot-moya-debuts-with-92-human-like-walking-accuracy.html")</f>
        <v>https://www.iphonemod.net/worlds-first-biomimetic-ai-robot-moya-debuts-with-92-human-like-walking-accuracy.html</v>
      </c>
      <c r="M139" t="inlineStr">
        <is>
          <t>1</t>
        </is>
      </c>
      <c r="N139" t="inlineStr">
        <is>
          <t>AI</t>
        </is>
      </c>
      <c r="O139"/>
    </row>
    <row r="140" ht="12.75" customHeight="1">
      <c r="A140" t="inlineStr">
        <is>
          <t>Motorola Razr รุ่น FIFA World Cup 2026 วางจำหน่ายแล้วในราคา $699 พร้อมของแถม</t>
        </is>
      </c>
      <c r="B140" t="inlineStr">
        <is>
          <t>Sasithakan Sritonthip</t>
        </is>
      </c>
      <c r="C140" s="2">
        <v>46069</v>
      </c>
      <c r="D140" s="2">
        <v>46069</v>
      </c>
      <c r="E140" t="inlineStr">
        <is>
          <t>ปกติ</t>
        </is>
      </c>
      <c r="F140" s="3" t="str">
        <f>=HYPERLINK("https://9to5google.com/2026/02/13/motorola-razr-fifa-world-cup-edition-now-available/", "https://9to5google.com/2026/02/13/motorola-razr-fifa-world-cup-edition-now-available/")</f>
        <v>https://9to5google.com/2026/02/13/motorola-razr-fifa-world-cup-edition-now-available/</v>
      </c>
      <c r="G140"/>
      <c r="H140" t="inlineStr">
        <is>
          <t>Website</t>
        </is>
      </c>
      <c r="I140" t="inlineStr">
        <is>
          <t>งานประจำวัน</t>
        </is>
      </c>
      <c r="J140" t="inlineStr">
        <is>
          <t>Done</t>
        </is>
      </c>
      <c r="K140"/>
      <c r="L140" s="3" t="str">
        <f>=HYPERLINK("https://www.iphonemod.net/motorolas-fifa-edition-razr-is-now-available-for-699-with-free-moto-tag.html", "https://www.iphonemod.net/motorolas-fifa-edition-razr-is-now-available-for-699-with-free-moto-tag.html")</f>
        <v>https://www.iphonemod.net/motorolas-fifa-edition-razr-is-now-available-for-699-with-free-moto-tag.html</v>
      </c>
      <c r="M140" t="inlineStr">
        <is>
          <t>1</t>
        </is>
      </c>
      <c r="N140" t="inlineStr">
        <is>
          <t>Tech</t>
        </is>
      </c>
      <c r="O140"/>
    </row>
    <row r="141" ht="12.75" customHeight="1">
      <c r="A141" t="inlineStr">
        <is>
          <t>Gboard อัปเดตใหม่</t>
        </is>
      </c>
      <c r="B141" t="inlineStr">
        <is>
          <t>Saktaphat Kordjan</t>
        </is>
      </c>
      <c r="C141" s="2">
        <v>46069</v>
      </c>
      <c r="D141" s="2">
        <v>46069</v>
      </c>
      <c r="E141"/>
      <c r="F141" s="3"/>
      <c r="G141"/>
      <c r="H141" t="inlineStr">
        <is>
          <t>Website</t>
        </is>
      </c>
      <c r="I141" t="inlineStr">
        <is>
          <t>งานประจำวัน</t>
        </is>
      </c>
      <c r="J141" t="inlineStr">
        <is>
          <t>Done</t>
        </is>
      </c>
      <c r="K141"/>
      <c r="L141" s="3"/>
      <c r="M141"/>
      <c r="N141" t="inlineStr">
        <is>
          <t>Android</t>
        </is>
      </c>
      <c r="O141"/>
    </row>
    <row r="142" ht="12.75" customHeight="1">
      <c r="A142" t="inlineStr">
        <is>
          <t>Xiaomi HyperOS3 EP.1</t>
        </is>
      </c>
      <c r="B142" t="inlineStr">
        <is>
          <t>Saktaphat Kordjan</t>
        </is>
      </c>
      <c r="C142" s="2">
        <v>46069</v>
      </c>
      <c r="D142" s="2">
        <v>46069</v>
      </c>
      <c r="E142"/>
      <c r="F142" s="3"/>
      <c r="G142"/>
      <c r="H142" t="inlineStr">
        <is>
          <t>Shorts</t>
        </is>
      </c>
      <c r="I142" t="inlineStr">
        <is>
          <t>งานประจำวัน</t>
        </is>
      </c>
      <c r="J142" t="inlineStr">
        <is>
          <t>Done</t>
        </is>
      </c>
      <c r="K142"/>
      <c r="L142" s="3"/>
      <c r="M142"/>
      <c r="N142" t="inlineStr">
        <is>
          <t>Android</t>
        </is>
      </c>
      <c r="O142"/>
    </row>
    <row r="143" ht="12.75" customHeight="1">
      <c r="A143" t="inlineStr">
        <is>
          <t>แจก Prompt ทำรูปตรุษจีน</t>
        </is>
      </c>
      <c r="B143" t="inlineStr">
        <is>
          <t>Nattida Suriyodara</t>
        </is>
      </c>
      <c r="C143" s="2">
        <v>46069</v>
      </c>
      <c r="D143" s="2">
        <v>46069</v>
      </c>
      <c r="E143"/>
      <c r="F143" s="3"/>
      <c r="G143"/>
      <c r="H143" t="inlineStr">
        <is>
          <t>Pic Posts / Album, Website</t>
        </is>
      </c>
      <c r="I143" t="inlineStr">
        <is>
          <t>งานประจำวัน</t>
        </is>
      </c>
      <c r="J143" t="inlineStr">
        <is>
          <t>Done</t>
        </is>
      </c>
      <c r="K143"/>
      <c r="L143" s="3"/>
      <c r="M143"/>
      <c r="N143" t="inlineStr">
        <is>
          <t>AI</t>
        </is>
      </c>
      <c r="O143"/>
    </row>
    <row r="144" ht="12.75" customHeight="1">
      <c r="A144" t="inlineStr">
        <is>
          <t>(ตัดจากคลิปใหญ่) AI Slop เกลื่อนโซเชียล?</t>
        </is>
      </c>
      <c r="B144" t="inlineStr">
        <is>
          <t>Thitirath Kinaret,Nattida Suriyodara,Sasithakan Sritonthip</t>
        </is>
      </c>
      <c r="C144" s="2">
        <v>46069</v>
      </c>
      <c r="D144" s="2">
        <v>46070</v>
      </c>
      <c r="E144" t="inlineStr">
        <is>
          <t>ปกติ</t>
        </is>
      </c>
      <c r="F144" s="3" t="str">
        <f>=HYPERLINK("https://www.youtube.com/watch?v=GZ3R9Bn8Z60&amp;t=1413s", "https://www.youtube.com/watch?v=GZ3R9Bn8Z60&amp;t=1413s")</f>
        <v>https://www.youtube.com/watch?v=GZ3R9Bn8Z60&amp;t=1413s</v>
      </c>
      <c r="G144"/>
      <c r="H144" t="inlineStr">
        <is>
          <t>Shorts</t>
        </is>
      </c>
      <c r="I144" t="inlineStr">
        <is>
          <t>งานประจำวัน</t>
        </is>
      </c>
      <c r="J144" t="inlineStr">
        <is>
          <t>Done</t>
        </is>
      </c>
      <c r="K144"/>
      <c r="L144" s="3"/>
      <c r="M144" t="inlineStr">
        <is>
          <t>1</t>
        </is>
      </c>
      <c r="N144" t="inlineStr">
        <is>
          <t>AI</t>
        </is>
      </c>
      <c r="O144"/>
    </row>
    <row r="145" ht="12.75" customHeight="1">
      <c r="A145" t="inlineStr">
        <is>
          <t>MacBook อาจนำเทคโนโลยีหน้าจอ Privacy Display ของ Samsung มาใช้งานภายในปี 2029</t>
        </is>
      </c>
      <c r="B145" t="inlineStr">
        <is>
          <t>Saktaphat Kordjan</t>
        </is>
      </c>
      <c r="C145" s="2">
        <v>46069</v>
      </c>
      <c r="D145" s="2">
        <v>46069</v>
      </c>
      <c r="E145"/>
      <c r="F145" s="3"/>
      <c r="G145"/>
      <c r="H145" t="inlineStr">
        <is>
          <t>Pic Posts / Album</t>
        </is>
      </c>
      <c r="I145" t="inlineStr">
        <is>
          <t>งานประจำวัน</t>
        </is>
      </c>
      <c r="J145" t="inlineStr">
        <is>
          <t>Done</t>
        </is>
      </c>
      <c r="K145"/>
      <c r="L145" s="3"/>
      <c r="M145"/>
      <c r="N145" t="inlineStr">
        <is>
          <t>Apple, Tech</t>
        </is>
      </c>
      <c r="O145"/>
    </row>
    <row r="146" ht="12.75" customHeight="1">
      <c r="A146" t="inlineStr">
        <is>
          <t>Apple ยืนยัน Siri เวอร์ชันใหม่ ยังเปิดตัวในปี 2026 แน่นอน
</t>
        </is>
      </c>
      <c r="B146" t="inlineStr">
        <is>
          <t>Thitirath Kinaret</t>
        </is>
      </c>
      <c r="C146" s="2">
        <v>46069</v>
      </c>
      <c r="D146" s="2">
        <v>46069</v>
      </c>
      <c r="E146"/>
      <c r="F146" s="3"/>
      <c r="G146"/>
      <c r="H146" t="inlineStr">
        <is>
          <t>Website</t>
        </is>
      </c>
      <c r="I146" t="inlineStr">
        <is>
          <t>งานประจำวัน</t>
        </is>
      </c>
      <c r="J146" t="inlineStr">
        <is>
          <t>Done</t>
        </is>
      </c>
      <c r="K146"/>
      <c r="L146" s="3"/>
      <c r="M146"/>
      <c r="N146" t="inlineStr">
        <is>
          <t>Apple</t>
        </is>
      </c>
      <c r="O146"/>
    </row>
    <row r="147" ht="12.75" customHeight="1">
      <c r="A147" t="inlineStr">
        <is>
          <t>สต็อก iPhone 16e และ iPad Air ที่ Apple Store เกือบหมด
</t>
        </is>
      </c>
      <c r="B147" t="inlineStr">
        <is>
          <t>Thitirath Kinaret</t>
        </is>
      </c>
      <c r="C147" s="2">
        <v>46069</v>
      </c>
      <c r="D147" s="2">
        <v>46069</v>
      </c>
      <c r="E147"/>
      <c r="F147" s="3"/>
      <c r="G147"/>
      <c r="H147" t="inlineStr">
        <is>
          <t>Pic Posts / Album, Website</t>
        </is>
      </c>
      <c r="I147" t="inlineStr">
        <is>
          <t>งานประจำวัน</t>
        </is>
      </c>
      <c r="J147" t="inlineStr">
        <is>
          <t>Done</t>
        </is>
      </c>
      <c r="K147"/>
      <c r="L147" s="3"/>
      <c r="M147"/>
      <c r="N147" t="inlineStr">
        <is>
          <t>Apple</t>
        </is>
      </c>
      <c r="O147"/>
    </row>
    <row r="148" ht="12.75" customHeight="1">
      <c r="A148" t="inlineStr">
        <is>
          <t>iOS 27 เน้นปรับปรุงโค้ด และอินเทอร์เฟซ เพื่อเพิ่มเวลาใช้งานแบต
</t>
        </is>
      </c>
      <c r="B148" t="inlineStr">
        <is>
          <t>Thitirath Kinaret</t>
        </is>
      </c>
      <c r="C148" s="2">
        <v>46069</v>
      </c>
      <c r="D148" s="2">
        <v>46069</v>
      </c>
      <c r="E148"/>
      <c r="F148" s="3"/>
      <c r="G148"/>
      <c r="H148" t="inlineStr">
        <is>
          <t>Pic Posts / Album, Website</t>
        </is>
      </c>
      <c r="I148" t="inlineStr">
        <is>
          <t>งานประจำวัน</t>
        </is>
      </c>
      <c r="J148" t="inlineStr">
        <is>
          <t>Done</t>
        </is>
      </c>
      <c r="K148"/>
      <c r="L148" s="3"/>
      <c r="M148"/>
      <c r="N148" t="inlineStr">
        <is>
          <t>Apple</t>
        </is>
      </c>
      <c r="O148"/>
    </row>
    <row r="149" ht="12.75" customHeight="1">
      <c r="A149" t="inlineStr">
        <is>
          <t>Apple เตรียมเปิดตัว Mac ใหม่ ในไม่กี่สัปดาห์ (ก.พ. – มี.ค. 2026)
</t>
        </is>
      </c>
      <c r="B149" t="inlineStr">
        <is>
          <t>Thitirath Kinaret</t>
        </is>
      </c>
      <c r="C149" s="2">
        <v>46069</v>
      </c>
      <c r="D149" s="2">
        <v>46069</v>
      </c>
      <c r="E149"/>
      <c r="F149" s="3"/>
      <c r="G149"/>
      <c r="H149" t="inlineStr">
        <is>
          <t>Pic Posts / Album, Website</t>
        </is>
      </c>
      <c r="I149" t="inlineStr">
        <is>
          <t>งานประจำวัน</t>
        </is>
      </c>
      <c r="J149" t="inlineStr">
        <is>
          <t>Done</t>
        </is>
      </c>
      <c r="K149"/>
      <c r="L149" s="3"/>
      <c r="M149"/>
      <c r="N149" t="inlineStr">
        <is>
          <t>Apple</t>
        </is>
      </c>
      <c r="O149"/>
    </row>
    <row r="150" ht="12.75" customHeight="1">
      <c r="A150" t="inlineStr">
        <is>
          <t>MacBook ราคาประหยัด ชิป A18 Pro มีสีสดใส เปิดตัว มี.ค. 2026 นี้
</t>
        </is>
      </c>
      <c r="B150" t="inlineStr">
        <is>
          <t>Thitirath Kinaret</t>
        </is>
      </c>
      <c r="C150" s="2">
        <v>46069</v>
      </c>
      <c r="D150" s="2">
        <v>46069</v>
      </c>
      <c r="E150"/>
      <c r="F150" s="3"/>
      <c r="G150"/>
      <c r="H150" t="inlineStr">
        <is>
          <t>Pic Posts / Album, Website</t>
        </is>
      </c>
      <c r="I150" t="inlineStr">
        <is>
          <t>งานประจำวัน</t>
        </is>
      </c>
      <c r="J150" t="inlineStr">
        <is>
          <t>Done</t>
        </is>
      </c>
      <c r="K150"/>
      <c r="L150" s="3"/>
      <c r="M150"/>
      <c r="N150" t="inlineStr">
        <is>
          <t>Apple</t>
        </is>
      </c>
      <c r="O150"/>
    </row>
    <row r="151" ht="12.75" customHeight="1">
      <c r="A151" t="inlineStr">
        <is>
          <t>จีนสร้าง GrowHR หุ่นยนต์เปลี่ยนรูปร่างได้ คล้ายมนุษย์
</t>
        </is>
      </c>
      <c r="B151" t="inlineStr">
        <is>
          <t>Thitirath Kinaret</t>
        </is>
      </c>
      <c r="C151" s="2">
        <v>46069</v>
      </c>
      <c r="D151" s="2">
        <v>46069</v>
      </c>
      <c r="E151"/>
      <c r="F151" s="3"/>
      <c r="G151"/>
      <c r="H151" t="inlineStr">
        <is>
          <t>Pic Posts / Album, Website</t>
        </is>
      </c>
      <c r="I151" t="inlineStr">
        <is>
          <t>งานประจำวัน</t>
        </is>
      </c>
      <c r="J151" t="inlineStr">
        <is>
          <t>Done</t>
        </is>
      </c>
      <c r="K151"/>
      <c r="L151" s="3"/>
      <c r="M151"/>
      <c r="N151" t="inlineStr">
        <is>
          <t>Tech</t>
        </is>
      </c>
      <c r="O151"/>
    </row>
    <row r="152" ht="12.75" customHeight="1">
      <c r="A152" t="inlineStr">
        <is>
          <t>เผยข้อมูล Geekbench ของ iPhone 17e (แต่น่าจะปลอม)
</t>
        </is>
      </c>
      <c r="B152" t="inlineStr">
        <is>
          <t>Thitirath Kinaret</t>
        </is>
      </c>
      <c r="C152" s="2">
        <v>46069</v>
      </c>
      <c r="D152" s="2">
        <v>46069</v>
      </c>
      <c r="E152"/>
      <c r="F152" s="3"/>
      <c r="G152"/>
      <c r="H152" t="inlineStr">
        <is>
          <t>Pic Posts / Album, Website</t>
        </is>
      </c>
      <c r="I152" t="inlineStr">
        <is>
          <t>งานประจำวัน</t>
        </is>
      </c>
      <c r="J152" t="inlineStr">
        <is>
          <t>Done</t>
        </is>
      </c>
      <c r="K152"/>
      <c r="L152" s="3"/>
      <c r="M152"/>
      <c r="N152" t="inlineStr">
        <is>
          <t>Apple</t>
        </is>
      </c>
      <c r="O152"/>
    </row>
    <row r="153" ht="12.75" customHeight="1">
      <c r="A153" t="inlineStr">
        <is>
          <t>ByteDance เตรียมปรับปรุง โมเดล AI Seedance 2.0 หลังถูก Disney, Paramount ขู่ฟ้อง!
</t>
        </is>
      </c>
      <c r="B153" t="inlineStr">
        <is>
          <t>Thitirath Kinaret</t>
        </is>
      </c>
      <c r="C153" s="2">
        <v>46069</v>
      </c>
      <c r="D153" s="2">
        <v>46069</v>
      </c>
      <c r="E153"/>
      <c r="F153" s="3"/>
      <c r="G153"/>
      <c r="H153" t="inlineStr">
        <is>
          <t>Pic Posts / Album, Website</t>
        </is>
      </c>
      <c r="I153" t="inlineStr">
        <is>
          <t>งานประจำวัน</t>
        </is>
      </c>
      <c r="J153" t="inlineStr">
        <is>
          <t>Done</t>
        </is>
      </c>
      <c r="K153"/>
      <c r="L153" s="3"/>
      <c r="M153"/>
      <c r="N153" t="inlineStr">
        <is>
          <t>AI</t>
        </is>
      </c>
      <c r="O153"/>
    </row>
    <row r="154" ht="12.75" customHeight="1">
      <c r="A154" t="inlineStr">
        <is>
          <t>โปรโมชัน Canon Care+ อุปกรณ์เช่าไม่สะดุด ฟรีค่ามัดจำ</t>
        </is>
      </c>
      <c r="B154" t="inlineStr">
        <is>
          <t>Thitirath Kinaret</t>
        </is>
      </c>
      <c r="C154" s="2">
        <v>46069</v>
      </c>
      <c r="D154" s="2">
        <v>46069</v>
      </c>
      <c r="E154"/>
      <c r="F154" s="3"/>
      <c r="G154"/>
      <c r="H154" t="inlineStr">
        <is>
          <t>Website</t>
        </is>
      </c>
      <c r="I154" t="inlineStr">
        <is>
          <t>งานประจำวัน</t>
        </is>
      </c>
      <c r="J154" t="inlineStr">
        <is>
          <t>Done</t>
        </is>
      </c>
      <c r="K154"/>
      <c r="L154" s="3"/>
      <c r="M154"/>
      <c r="N154" t="inlineStr">
        <is>
          <t>PR</t>
        </is>
      </c>
      <c r="O154"/>
    </row>
    <row r="155" ht="12.75" customHeight="1">
      <c r="A155" t="inlineStr">
        <is>
          <t>(ตัดจากคลิปใหญ่) วิธีตั้งค่าถนอมสายตา iPhone 1/2</t>
        </is>
      </c>
      <c r="B155" t="inlineStr">
        <is>
          <t>Thitirath Kinaret,Sasithakan Sritonthip</t>
        </is>
      </c>
      <c r="C155" s="2">
        <v>46066</v>
      </c>
      <c r="D155" s="2">
        <v>46066</v>
      </c>
      <c r="E155" t="inlineStr">
        <is>
          <t>ปกติ</t>
        </is>
      </c>
      <c r="F155" s="3" t="str">
        <f>=HYPERLINK("https://www.youtube.com/watch?v=nJjafVoTziw&amp;t=47s", "https://www.youtube.com/watch?v=nJjafVoTziw&amp;t=47s")</f>
        <v>https://www.youtube.com/watch?v=nJjafVoTziw&amp;t=47s</v>
      </c>
      <c r="G155"/>
      <c r="H155" t="inlineStr">
        <is>
          <t>Shorts</t>
        </is>
      </c>
      <c r="I155" t="inlineStr">
        <is>
          <t>งานประจำวัน</t>
        </is>
      </c>
      <c r="J155" t="inlineStr">
        <is>
          <t>Done</t>
        </is>
      </c>
      <c r="K155"/>
      <c r="L155" s="3"/>
      <c r="M155" t="inlineStr">
        <is>
          <t>1</t>
        </is>
      </c>
      <c r="N155" t="inlineStr">
        <is>
          <t>Apple</t>
        </is>
      </c>
      <c r="O155"/>
    </row>
    <row r="156" ht="12.75" customHeight="1">
      <c r="A156" t="inlineStr">
        <is>
          <t xml:space="preserve">แนะนำของไอทีน่าสนใจ ตรุษจีน 2026 </t>
        </is>
      </c>
      <c r="B156" t="inlineStr">
        <is>
          <t>Saktaphat Kordjan,Krongkwun  Rithiwong</t>
        </is>
      </c>
      <c r="C156" s="2">
        <v>46066</v>
      </c>
      <c r="D156" s="2">
        <v>46066</v>
      </c>
      <c r="E156"/>
      <c r="F156" s="3"/>
      <c r="G156"/>
      <c r="H156" t="inlineStr">
        <is>
          <t>Pic Posts / Album, YouTube</t>
        </is>
      </c>
      <c r="I156" t="inlineStr">
        <is>
          <t>เสนอไอเดีย</t>
        </is>
      </c>
      <c r="J156" t="inlineStr">
        <is>
          <t>Done</t>
        </is>
      </c>
      <c r="K156"/>
      <c r="L156" s="3"/>
      <c r="M156"/>
      <c r="N156" t="inlineStr">
        <is>
          <t>Tech</t>
        </is>
      </c>
      <c r="O156"/>
    </row>
    <row r="157" ht="12.75" customHeight="1">
      <c r="A157" t="inlineStr">
        <is>
          <t>แจก Prompt ทำ Wallpaper</t>
        </is>
      </c>
      <c r="B157" t="inlineStr">
        <is>
          <t>Nattida Suriyodara</t>
        </is>
      </c>
      <c r="C157" s="2">
        <v>46066</v>
      </c>
      <c r="D157" s="2">
        <v>46066</v>
      </c>
      <c r="E157"/>
      <c r="F157" s="3"/>
      <c r="G157"/>
      <c r="H157" t="inlineStr">
        <is>
          <t>Shorts</t>
        </is>
      </c>
      <c r="I157" t="inlineStr">
        <is>
          <t>งานประจำวัน</t>
        </is>
      </c>
      <c r="J157" t="inlineStr">
        <is>
          <t>Done</t>
        </is>
      </c>
      <c r="K157"/>
      <c r="L157" s="3"/>
      <c r="M157"/>
      <c r="N157" t="inlineStr">
        <is>
          <t>AI</t>
        </is>
      </c>
      <c r="O157"/>
    </row>
    <row r="158" ht="12.75" customHeight="1">
      <c r="A158" t="inlineStr">
        <is>
          <t>AirTag 2 สั่งซื้อได้แล้ว! 
</t>
        </is>
      </c>
      <c r="B158" t="inlineStr">
        <is>
          <t>Thitirath Kinaret</t>
        </is>
      </c>
      <c r="C158" s="2">
        <v>46066</v>
      </c>
      <c r="D158" s="2">
        <v>46066</v>
      </c>
      <c r="E158"/>
      <c r="F158" s="3"/>
      <c r="G158"/>
      <c r="H158" t="inlineStr">
        <is>
          <t>Pic Posts / Album</t>
        </is>
      </c>
      <c r="I158" t="inlineStr">
        <is>
          <t>งานประจำวัน</t>
        </is>
      </c>
      <c r="J158" t="inlineStr">
        <is>
          <t>Done</t>
        </is>
      </c>
      <c r="K158"/>
      <c r="L158" s="3"/>
      <c r="M158"/>
      <c r="N158" t="inlineStr">
        <is>
          <t>Apple</t>
        </is>
      </c>
      <c r="O158"/>
    </row>
    <row r="159" ht="12.75" customHeight="1">
      <c r="A159" t="inlineStr">
        <is>
          <t>4 ก.พ. 69 มือถือรุ่นเก่าหลายรุ่นจะใช้แอปธนาคารไม่ได้!</t>
        </is>
      </c>
      <c r="B159" t="inlineStr">
        <is>
          <t>Thitirath Kinaret</t>
        </is>
      </c>
      <c r="C159" s="2">
        <v>46066</v>
      </c>
      <c r="D159" s="2">
        <v>46066</v>
      </c>
      <c r="E159"/>
      <c r="F159" s="3"/>
      <c r="G159"/>
      <c r="H159" t="inlineStr">
        <is>
          <t>Pic Posts / Album</t>
        </is>
      </c>
      <c r="I159" t="inlineStr">
        <is>
          <t>งานประจำวัน</t>
        </is>
      </c>
      <c r="J159" t="inlineStr">
        <is>
          <t>Done</t>
        </is>
      </c>
      <c r="K159"/>
      <c r="L159" s="3"/>
      <c r="M159"/>
      <c r="N159" t="inlineStr">
        <is>
          <t>ทั่วไป</t>
        </is>
      </c>
      <c r="O159"/>
    </row>
    <row r="160" ht="12.75" customHeight="1">
      <c r="A160" t="inlineStr">
        <is>
          <t>อัปเดตข่าว iPad mini 8 ใช้จอ OLED, ชิป A19 Pro ลุ้นเปิดตัวปลายปี 2026</t>
        </is>
      </c>
      <c r="B160" t="inlineStr">
        <is>
          <t>Thitirath Kinaret</t>
        </is>
      </c>
      <c r="C160" s="2">
        <v>46066</v>
      </c>
      <c r="D160" s="2">
        <v>46066</v>
      </c>
      <c r="E160"/>
      <c r="F160" s="3"/>
      <c r="G160"/>
      <c r="H160" t="inlineStr">
        <is>
          <t>YouTube</t>
        </is>
      </c>
      <c r="I160" t="inlineStr">
        <is>
          <t>งานประจำวัน</t>
        </is>
      </c>
      <c r="J160" t="inlineStr">
        <is>
          <t>Done</t>
        </is>
      </c>
      <c r="K160"/>
      <c r="L160" s="3"/>
      <c r="M160"/>
      <c r="N160" t="inlineStr">
        <is>
          <t>Apple</t>
        </is>
      </c>
      <c r="O160"/>
    </row>
    <row r="161" ht="12.75" customHeight="1">
      <c r="A161" t="inlineStr">
        <is>
          <t>(ตัดจากคลิปใหญ่) วิธีตั้งค่าถนอมสายตา iPhone 2/2</t>
        </is>
      </c>
      <c r="B161" t="inlineStr">
        <is>
          <t>Thitirath Kinaret,Sasithakan Sritonthip</t>
        </is>
      </c>
      <c r="C161" s="2">
        <v>46066</v>
      </c>
      <c r="D161" s="2">
        <v>46066</v>
      </c>
      <c r="E161" t="inlineStr">
        <is>
          <t>ปกติ</t>
        </is>
      </c>
      <c r="F161" s="3" t="str">
        <f>=HYPERLINK("https://www.youtube.com/watch?v=nJjafVoTziw&amp;t=47s", "https://www.youtube.com/watch?v=nJjafVoTziw&amp;t=47s")</f>
        <v>https://www.youtube.com/watch?v=nJjafVoTziw&amp;t=47s</v>
      </c>
      <c r="G161"/>
      <c r="H161" t="inlineStr">
        <is>
          <t>Shorts</t>
        </is>
      </c>
      <c r="I161" t="inlineStr">
        <is>
          <t>งานประจำวัน</t>
        </is>
      </c>
      <c r="J161" t="inlineStr">
        <is>
          <t>Done</t>
        </is>
      </c>
      <c r="K161"/>
      <c r="L161" s="3"/>
      <c r="M161" t="inlineStr">
        <is>
          <t>1</t>
        </is>
      </c>
      <c r="N161" t="inlineStr">
        <is>
          <t>Apple</t>
        </is>
      </c>
      <c r="O161"/>
    </row>
    <row r="162" ht="12.75" customHeight="1">
      <c r="A162" t="inlineStr">
        <is>
          <t>หลุดข้อมูล Nothing Phone (4a) และ (4a) Pro ก่อนเปิดตัว</t>
        </is>
      </c>
      <c r="B162" t="inlineStr">
        <is>
          <t>Saktaphat Kordjan</t>
        </is>
      </c>
      <c r="C162" s="2">
        <v>46066</v>
      </c>
      <c r="D162" s="2">
        <v>46066</v>
      </c>
      <c r="E162"/>
      <c r="F162" s="3"/>
      <c r="G162"/>
      <c r="H162" t="inlineStr">
        <is>
          <t>Website</t>
        </is>
      </c>
      <c r="I162" t="inlineStr">
        <is>
          <t>งานประจำวัน</t>
        </is>
      </c>
      <c r="J162" t="inlineStr">
        <is>
          <t>Done</t>
        </is>
      </c>
      <c r="K162"/>
      <c r="L162" s="3"/>
      <c r="M162"/>
      <c r="N162" t="inlineStr">
        <is>
          <t>Android</t>
        </is>
      </c>
      <c r="O162"/>
    </row>
    <row r="163" ht="12.75" customHeight="1">
      <c r="A163" t="inlineStr">
        <is>
          <t>Xteink X4 e-reader ขนาดเล็กกะทัดรัด พกพาสะดวก</t>
        </is>
      </c>
      <c r="B163" t="inlineStr">
        <is>
          <t>Saktaphat Kordjan</t>
        </is>
      </c>
      <c r="C163" s="2">
        <v>46066</v>
      </c>
      <c r="D163" s="2">
        <v>46066</v>
      </c>
      <c r="E163"/>
      <c r="F163" s="3"/>
      <c r="G163"/>
      <c r="H163" t="inlineStr">
        <is>
          <t>Website</t>
        </is>
      </c>
      <c r="I163" t="inlineStr">
        <is>
          <t>งานประจำวัน</t>
        </is>
      </c>
      <c r="J163" t="inlineStr">
        <is>
          <t>Done</t>
        </is>
      </c>
      <c r="K163"/>
      <c r="L163" s="3"/>
      <c r="M163"/>
      <c r="N163" t="inlineStr">
        <is>
          <t>ทั่วไป</t>
        </is>
      </c>
      <c r="O163"/>
    </row>
    <row r="164" ht="12.75" customHeight="1">
      <c r="A164" t="inlineStr">
        <is>
          <t>Samsung เริ่มพัฒนา One UI 9 คาดเปิดตัวพร้อม Galaxy Z Fold 8</t>
        </is>
      </c>
      <c r="B164" t="inlineStr">
        <is>
          <t>Saktaphat Kordjan</t>
        </is>
      </c>
      <c r="C164" s="2">
        <v>46066</v>
      </c>
      <c r="D164" s="2">
        <v>46066</v>
      </c>
      <c r="E164"/>
      <c r="F164" s="3"/>
      <c r="G164"/>
      <c r="H164" t="inlineStr">
        <is>
          <t>Website</t>
        </is>
      </c>
      <c r="I164" t="inlineStr">
        <is>
          <t>งานประจำวัน</t>
        </is>
      </c>
      <c r="J164" t="inlineStr">
        <is>
          <t>Done</t>
        </is>
      </c>
      <c r="K164"/>
      <c r="L164" s="3"/>
      <c r="M164"/>
      <c r="N164" t="inlineStr">
        <is>
          <t>Android</t>
        </is>
      </c>
      <c r="O164"/>
    </row>
    <row r="165" ht="12.75" customHeight="1">
      <c r="A165" t="inlineStr">
        <is>
          <t>ซัมซุงชวนผู้ใช้ Android อัปเดต รองรับ Mobile Banking ไทย ภายใน 14 ก.พ. 69
</t>
        </is>
      </c>
      <c r="B165" t="inlineStr">
        <is>
          <t>Thitirath Kinaret</t>
        </is>
      </c>
      <c r="C165" s="2">
        <v>46066</v>
      </c>
      <c r="D165" s="2">
        <v>46066</v>
      </c>
      <c r="E165"/>
      <c r="F165" s="3"/>
      <c r="G165"/>
      <c r="H165" t="inlineStr">
        <is>
          <t>Website</t>
        </is>
      </c>
      <c r="I165" t="inlineStr">
        <is>
          <t>งานประจำวัน</t>
        </is>
      </c>
      <c r="J165" t="inlineStr">
        <is>
          <t>Done</t>
        </is>
      </c>
      <c r="K165"/>
      <c r="L165" s="3"/>
      <c r="M165"/>
      <c r="N165" t="inlineStr">
        <is>
          <t>PR</t>
        </is>
      </c>
      <c r="O165"/>
    </row>
    <row r="166" ht="12.75" customHeight="1">
      <c r="A166" t="inlineStr">
        <is>
          <t>sony-wf-1000xm6</t>
        </is>
      </c>
      <c r="B166" t="inlineStr">
        <is>
          <t>Krongkwun  Rithiwong</t>
        </is>
      </c>
      <c r="C166" s="2">
        <v>46066</v>
      </c>
      <c r="D166" s="2">
        <v>46066</v>
      </c>
      <c r="E166" t="inlineStr">
        <is>
          <t>ปกติ</t>
        </is>
      </c>
      <c r="F166" s="3" t="str">
        <f>=HYPERLINK("https://www.iphonemod.net/sony-wf-1000xm6-review-great-audio-good-design.html", "https://www.iphonemod.net/sony-wf-1000xm6-review-great-audio-good-design.html")</f>
        <v>https://www.iphonemod.net/sony-wf-1000xm6-review-great-audio-good-design.html</v>
      </c>
      <c r="G166"/>
      <c r="H166" t="inlineStr">
        <is>
          <t>Website</t>
        </is>
      </c>
      <c r="I166" t="inlineStr">
        <is>
          <t>งานประจำวัน</t>
        </is>
      </c>
      <c r="J166" t="inlineStr">
        <is>
          <t>Done</t>
        </is>
      </c>
      <c r="K166"/>
      <c r="L166" s="3"/>
      <c r="M166" t="inlineStr">
        <is>
          <t>1</t>
        </is>
      </c>
      <c r="N166" t="inlineStr">
        <is>
          <t>Tech</t>
        </is>
      </c>
      <c r="O166"/>
    </row>
    <row r="167" ht="12.75" customHeight="1">
      <c r="A167" t="inlineStr">
        <is>
          <t>Apple เลื่อนเปิดตัว Siri ใหม่</t>
        </is>
      </c>
      <c r="B167" t="inlineStr">
        <is>
          <t>Nattida Suriyodara</t>
        </is>
      </c>
      <c r="C167" s="2">
        <v>46065</v>
      </c>
      <c r="D167" s="2">
        <v>46065</v>
      </c>
      <c r="E167"/>
      <c r="F167" s="3"/>
      <c r="G167"/>
      <c r="H167" t="inlineStr">
        <is>
          <t>Website</t>
        </is>
      </c>
      <c r="I167" t="inlineStr">
        <is>
          <t>งานประจำวัน</t>
        </is>
      </c>
      <c r="J167" t="inlineStr">
        <is>
          <t>Done</t>
        </is>
      </c>
      <c r="K167"/>
      <c r="L167" s="3"/>
      <c r="M167"/>
      <c r="N167" t="inlineStr">
        <is>
          <t>AI, Apple</t>
        </is>
      </c>
      <c r="O167"/>
    </row>
    <row r="168" ht="12.75" customHeight="1">
      <c r="A168" t="inlineStr">
        <is>
          <t>Anthropic เพิ่มฟีเจอร์ฟรีให้ Claude</t>
        </is>
      </c>
      <c r="B168" t="inlineStr">
        <is>
          <t>Nattida Suriyodara</t>
        </is>
      </c>
      <c r="C168" s="2">
        <v>46065</v>
      </c>
      <c r="D168" s="2">
        <v>46065</v>
      </c>
      <c r="E168"/>
      <c r="F168" s="3"/>
      <c r="G168"/>
      <c r="H168" t="inlineStr">
        <is>
          <t>Website</t>
        </is>
      </c>
      <c r="I168" t="inlineStr">
        <is>
          <t>งานประจำวัน</t>
        </is>
      </c>
      <c r="J168" t="inlineStr">
        <is>
          <t>Done</t>
        </is>
      </c>
      <c r="K168"/>
      <c r="L168" s="3"/>
      <c r="M168"/>
      <c r="N168" t="inlineStr">
        <is>
          <t>AI</t>
        </is>
      </c>
      <c r="O168"/>
    </row>
    <row r="169" ht="12.75" customHeight="1">
      <c r="A169" t="inlineStr">
        <is>
          <t>แชร์ประสบการณ์ใช้ Apple Watch Series 11</t>
        </is>
      </c>
      <c r="B169" t="inlineStr">
        <is>
          <t>Nattida Suriyodara</t>
        </is>
      </c>
      <c r="C169" s="2">
        <v>46065</v>
      </c>
      <c r="D169" s="2">
        <v>46065</v>
      </c>
      <c r="E169"/>
      <c r="F169" s="3"/>
      <c r="G169"/>
      <c r="H169" t="inlineStr">
        <is>
          <t>YouTube</t>
        </is>
      </c>
      <c r="I169" t="inlineStr">
        <is>
          <t>งานประจำวัน, เสนอไอเดีย</t>
        </is>
      </c>
      <c r="J169" t="inlineStr">
        <is>
          <t>Done</t>
        </is>
      </c>
      <c r="K169"/>
      <c r="L169" s="3"/>
      <c r="M169" t="inlineStr">
        <is>
          <t>0</t>
        </is>
      </c>
      <c r="N169" t="inlineStr">
        <is>
          <t>Apple</t>
        </is>
      </c>
      <c r="O169"/>
    </row>
    <row r="170" ht="12.75" customHeight="1">
      <c r="A170" t="inlineStr">
        <is>
          <t>พาชม Xiaomi Hyper OS3</t>
        </is>
      </c>
      <c r="B170" t="inlineStr">
        <is>
          <t>Saktaphat Kordjan</t>
        </is>
      </c>
      <c r="C170" s="2">
        <v>46065</v>
      </c>
      <c r="D170" s="2">
        <v>46065</v>
      </c>
      <c r="E170"/>
      <c r="F170" s="3"/>
      <c r="G170"/>
      <c r="H170" t="inlineStr">
        <is>
          <t>YouTube</t>
        </is>
      </c>
      <c r="I170" t="inlineStr">
        <is>
          <t>เสนอไอเดีย</t>
        </is>
      </c>
      <c r="J170" t="inlineStr">
        <is>
          <t>Done</t>
        </is>
      </c>
      <c r="K170"/>
      <c r="L170" s="3"/>
      <c r="M170"/>
      <c r="N170" t="inlineStr">
        <is>
          <t>Android</t>
        </is>
      </c>
      <c r="O170"/>
    </row>
    <row r="171" ht="12.75" customHeight="1">
      <c r="A171" t="inlineStr">
        <is>
          <t xml:space="preserve">Qualcomm บอกใบ้ Galaxy S26 อาจใช้ชิป Snapdragon </t>
        </is>
      </c>
      <c r="B171" t="inlineStr">
        <is>
          <t>Saktaphat Kordjan</t>
        </is>
      </c>
      <c r="C171" s="2">
        <v>46065</v>
      </c>
      <c r="D171" s="2">
        <v>46065</v>
      </c>
      <c r="E171"/>
      <c r="F171" s="3"/>
      <c r="G171"/>
      <c r="H171" t="inlineStr">
        <is>
          <t>Website</t>
        </is>
      </c>
      <c r="I171" t="inlineStr">
        <is>
          <t>งานประจำวัน</t>
        </is>
      </c>
      <c r="J171" t="inlineStr">
        <is>
          <t>Done</t>
        </is>
      </c>
      <c r="K171"/>
      <c r="L171" s="3"/>
      <c r="M171"/>
      <c r="N171" t="inlineStr">
        <is>
          <t>Android</t>
        </is>
      </c>
      <c r="O171"/>
    </row>
    <row r="172" ht="12.75" customHeight="1">
      <c r="A172" t="inlineStr">
        <is>
          <t>Samsung X wuwa</t>
        </is>
      </c>
      <c r="B172" t="inlineStr">
        <is>
          <t>Saktaphat Kordjan</t>
        </is>
      </c>
      <c r="C172" s="2">
        <v>46065</v>
      </c>
      <c r="D172" s="2">
        <v>46065</v>
      </c>
      <c r="E172"/>
      <c r="F172" s="3"/>
      <c r="G172"/>
      <c r="H172" t="inlineStr">
        <is>
          <t>Pic Posts / Album</t>
        </is>
      </c>
      <c r="I172" t="inlineStr">
        <is>
          <t>เสนอไอเดีย</t>
        </is>
      </c>
      <c r="J172" t="inlineStr">
        <is>
          <t>Done</t>
        </is>
      </c>
      <c r="K172"/>
      <c r="L172" s="3"/>
      <c r="M172"/>
      <c r="N172" t="inlineStr">
        <is>
          <t>Android</t>
        </is>
      </c>
      <c r="O172"/>
    </row>
    <row r="173" ht="12.75" customHeight="1">
      <c r="A173" t="inlineStr">
        <is>
          <t>Elon Musk ตั้งเป้า สร้างโรงงาน AI บนดวงจันทร์</t>
        </is>
      </c>
      <c r="B173" t="inlineStr">
        <is>
          <t>Thitirath Kinaret</t>
        </is>
      </c>
      <c r="C173" s="2">
        <v>46065</v>
      </c>
      <c r="D173" s="2">
        <v>46065</v>
      </c>
      <c r="E173"/>
      <c r="F173" s="3"/>
      <c r="G173"/>
      <c r="H173" t="inlineStr">
        <is>
          <t>Pic Posts / Album, Website</t>
        </is>
      </c>
      <c r="I173" t="inlineStr">
        <is>
          <t>งานประจำวัน</t>
        </is>
      </c>
      <c r="J173" t="inlineStr">
        <is>
          <t>Done</t>
        </is>
      </c>
      <c r="K173"/>
      <c r="L173" s="3"/>
      <c r="M173"/>
      <c r="N173" t="inlineStr">
        <is>
          <t>Tech</t>
        </is>
      </c>
      <c r="O173"/>
    </row>
    <row r="174" ht="12.75" customHeight="1">
      <c r="A174" t="inlineStr">
        <is>
          <t>Google เสนอแพ็กเกจ ลาออกโดยสมัครใจ แก่พนักงานที่ไม่ปรับตัวด้าน AI</t>
        </is>
      </c>
      <c r="B174" t="inlineStr">
        <is>
          <t>Thitirath Kinaret</t>
        </is>
      </c>
      <c r="C174" s="2">
        <v>46065</v>
      </c>
      <c r="D174" s="2">
        <v>46065</v>
      </c>
      <c r="E174"/>
      <c r="F174" s="3"/>
      <c r="G174"/>
      <c r="H174" t="inlineStr">
        <is>
          <t>Pic Posts / Album, Website</t>
        </is>
      </c>
      <c r="I174" t="inlineStr">
        <is>
          <t>งานประจำวัน</t>
        </is>
      </c>
      <c r="J174" t="inlineStr">
        <is>
          <t>Done</t>
        </is>
      </c>
      <c r="K174"/>
      <c r="L174" s="3"/>
      <c r="M174"/>
      <c r="N174" t="inlineStr">
        <is>
          <t>Tech</t>
        </is>
      </c>
      <c r="O174"/>
    </row>
    <row r="175" ht="12.75" customHeight="1">
      <c r="A175" t="inlineStr">
        <is>
          <t>อัปเดตด่วน iOS 26.3 อุดช่องโหว่ ความปลอดภัยหลายรายการ</t>
        </is>
      </c>
      <c r="B175" t="inlineStr">
        <is>
          <t>Thitirath Kinaret</t>
        </is>
      </c>
      <c r="C175" s="2">
        <v>46065</v>
      </c>
      <c r="D175" s="2">
        <v>46065</v>
      </c>
      <c r="E175"/>
      <c r="F175" s="3"/>
      <c r="G175"/>
      <c r="H175" t="inlineStr">
        <is>
          <t>Website, Pic Posts / Album</t>
        </is>
      </c>
      <c r="I175" t="inlineStr">
        <is>
          <t>งานประจำวัน</t>
        </is>
      </c>
      <c r="J175" t="inlineStr">
        <is>
          <t>Done</t>
        </is>
      </c>
      <c r="K175"/>
      <c r="L175" s="3"/>
      <c r="M175"/>
      <c r="N175" t="inlineStr">
        <is>
          <t>Apple</t>
        </is>
      </c>
      <c r="O175"/>
    </row>
    <row r="176" ht="12.75" customHeight="1">
      <c r="A176" t="inlineStr">
        <is>
          <t>นักวิเคราะห์มอง iPhone จอพับ รุ่นแรก จะช่วยเร่งตลาดสมาร์ตโฟนพับได้</t>
        </is>
      </c>
      <c r="B176" t="inlineStr">
        <is>
          <t>Thitirath Kinaret</t>
        </is>
      </c>
      <c r="C176" s="2">
        <v>46065</v>
      </c>
      <c r="D176" s="2">
        <v>46065</v>
      </c>
      <c r="E176"/>
      <c r="F176" s="3"/>
      <c r="G176"/>
      <c r="H176" t="inlineStr">
        <is>
          <t>Website</t>
        </is>
      </c>
      <c r="I176" t="inlineStr">
        <is>
          <t>งานประจำวัน</t>
        </is>
      </c>
      <c r="J176" t="inlineStr">
        <is>
          <t>Done</t>
        </is>
      </c>
      <c r="K176"/>
      <c r="L176" s="3"/>
      <c r="M176"/>
      <c r="N176" t="inlineStr">
        <is>
          <t>Apple</t>
        </is>
      </c>
      <c r="O176"/>
    </row>
    <row r="177" ht="12.75" customHeight="1">
      <c r="A177" t="inlineStr">
        <is>
          <t>ลือ! iPhone 18 Pro มาพร้อมโมเด็ม C2 รองรับ 5G ผ่านดาวเทียม</t>
        </is>
      </c>
      <c r="B177" t="inlineStr">
        <is>
          <t>Thitirath Kinaret</t>
        </is>
      </c>
      <c r="C177" s="2">
        <v>46065</v>
      </c>
      <c r="D177" s="2">
        <v>46065</v>
      </c>
      <c r="E177"/>
      <c r="F177" s="3"/>
      <c r="G177"/>
      <c r="H177" t="inlineStr">
        <is>
          <t>Website, Pic Posts / Album</t>
        </is>
      </c>
      <c r="I177" t="inlineStr">
        <is>
          <t>งานประจำวัน</t>
        </is>
      </c>
      <c r="J177" t="inlineStr">
        <is>
          <t>Done</t>
        </is>
      </c>
      <c r="K177"/>
      <c r="L177" s="3"/>
      <c r="M177"/>
      <c r="N177" t="inlineStr">
        <is>
          <t>Apple</t>
        </is>
      </c>
      <c r="O177"/>
    </row>
    <row r="178" ht="12.75" customHeight="1">
      <c r="A178" t="inlineStr">
        <is>
          <t>iOS 26.3 มาแล้ว! ย้ายไป Android ง่ายขึ้น, จำกัดตำแหน่งที่ตั้งจริง</t>
        </is>
      </c>
      <c r="B178" t="inlineStr">
        <is>
          <t>Thitirath Kinaret</t>
        </is>
      </c>
      <c r="C178" s="2">
        <v>46065</v>
      </c>
      <c r="D178" s="2">
        <v>46065</v>
      </c>
      <c r="E178"/>
      <c r="F178" s="3"/>
      <c r="G178"/>
      <c r="H178" t="inlineStr">
        <is>
          <t>Website, Pic Posts / Album, YouTube</t>
        </is>
      </c>
      <c r="I178" t="inlineStr">
        <is>
          <t>งานประจำวัน</t>
        </is>
      </c>
      <c r="J178" t="inlineStr">
        <is>
          <t>Done</t>
        </is>
      </c>
      <c r="K178"/>
      <c r="L178" s="3"/>
      <c r="M178"/>
      <c r="N178" t="inlineStr">
        <is>
          <t>Apple</t>
        </is>
      </c>
      <c r="O178"/>
    </row>
    <row r="179" ht="12.75" customHeight="1">
      <c r="A179" t="inlineStr">
        <is>
          <t xml:space="preserve"> Studio 7 ลดทลายคลัง 2026  ที่ ร้าน BaNANA Outlet สาขา BNN Park ราชพฤกษ์</t>
        </is>
      </c>
      <c r="B179" t="inlineStr">
        <is>
          <t>Thitirath Kinaret</t>
        </is>
      </c>
      <c r="C179" s="2">
        <v>46065</v>
      </c>
      <c r="D179" s="2">
        <v>46065</v>
      </c>
      <c r="E179"/>
      <c r="F179" s="3"/>
      <c r="G179"/>
      <c r="H179" t="inlineStr">
        <is>
          <t>Pic Posts / Album</t>
        </is>
      </c>
      <c r="I179" t="inlineStr">
        <is>
          <t>งานลูกค้า</t>
        </is>
      </c>
      <c r="J179" t="inlineStr">
        <is>
          <t>Done</t>
        </is>
      </c>
      <c r="K179"/>
      <c r="L179" s="3"/>
      <c r="M179"/>
      <c r="N179" t="inlineStr">
        <is>
          <t>ลูกค้า</t>
        </is>
      </c>
      <c r="O179" t="inlineStr">
        <is>
          <t>Studio 7</t>
        </is>
      </c>
    </row>
    <row r="180" ht="12.75" customHeight="1">
      <c r="A180" t="inlineStr">
        <is>
          <t>หลุดสเปกแบตและหน้าจอ  Oppo Find X9 Ultra ก่อนเปิดตัว</t>
        </is>
      </c>
      <c r="B180" t="inlineStr">
        <is>
          <t>Saktaphat Kordjan</t>
        </is>
      </c>
      <c r="C180" s="2">
        <v>46065</v>
      </c>
      <c r="D180" s="2">
        <v>46065</v>
      </c>
      <c r="E180"/>
      <c r="F180" s="3"/>
      <c r="G180"/>
      <c r="H180" t="inlineStr">
        <is>
          <t>Website</t>
        </is>
      </c>
      <c r="I180" t="inlineStr">
        <is>
          <t>งานประจำวัน</t>
        </is>
      </c>
      <c r="J180" t="inlineStr">
        <is>
          <t>Done</t>
        </is>
      </c>
      <c r="K180"/>
      <c r="L180" s="3"/>
      <c r="M180"/>
      <c r="N180" t="inlineStr">
        <is>
          <t>Android</t>
        </is>
      </c>
      <c r="O180"/>
    </row>
    <row r="181" ht="12.75" customHeight="1">
      <c r="A181" t="inlineStr">
        <is>
          <t>iPhone คิดเป็นเกือบ 1 ใน 4 ของสมาร์ตโฟนที่เปิดใช้งานทั่วโลก
</t>
        </is>
      </c>
      <c r="B181" t="inlineStr">
        <is>
          <t>Thitirath Kinaret</t>
        </is>
      </c>
      <c r="C181" s="2">
        <v>46064</v>
      </c>
      <c r="D181" s="2">
        <v>46064</v>
      </c>
      <c r="E181"/>
      <c r="F181" s="3"/>
      <c r="G181"/>
      <c r="H181" t="inlineStr">
        <is>
          <t>Website, Pic Posts / Album</t>
        </is>
      </c>
      <c r="I181" t="inlineStr">
        <is>
          <t>งานประจำวัน</t>
        </is>
      </c>
      <c r="J181" t="inlineStr">
        <is>
          <t>Done</t>
        </is>
      </c>
      <c r="K181"/>
      <c r="L181" s="3"/>
      <c r="M181"/>
      <c r="N181" t="inlineStr">
        <is>
          <t>Apple</t>
        </is>
      </c>
      <c r="O181"/>
    </row>
    <row r="182" ht="12.75" customHeight="1">
      <c r="A182" t="inlineStr">
        <is>
          <t>Google ขยาย Fitbit AI Health Coach มาให้ผู้ใช้ iOS</t>
        </is>
      </c>
      <c r="B182" t="inlineStr">
        <is>
          <t>Nattida Suriyodara</t>
        </is>
      </c>
      <c r="C182" s="2">
        <v>46064</v>
      </c>
      <c r="D182" s="2">
        <v>46064</v>
      </c>
      <c r="E182"/>
      <c r="F182" s="3"/>
      <c r="G182"/>
      <c r="H182" t="inlineStr">
        <is>
          <t>Website</t>
        </is>
      </c>
      <c r="I182" t="inlineStr">
        <is>
          <t>งานประจำวัน</t>
        </is>
      </c>
      <c r="J182" t="inlineStr">
        <is>
          <t>Done</t>
        </is>
      </c>
      <c r="K182"/>
      <c r="L182" s="3"/>
      <c r="M182"/>
      <c r="N182" t="inlineStr">
        <is>
          <t>Apple, AI</t>
        </is>
      </c>
      <c r="O182"/>
    </row>
    <row r="183" ht="12.75" customHeight="1">
      <c r="A183" t="inlineStr">
        <is>
          <t>Facebook Profile Animation</t>
        </is>
      </c>
      <c r="B183" t="inlineStr">
        <is>
          <t>Nattida Suriyodara</t>
        </is>
      </c>
      <c r="C183" s="2">
        <v>46064</v>
      </c>
      <c r="D183" s="2">
        <v>46064</v>
      </c>
      <c r="E183"/>
      <c r="F183" s="3"/>
      <c r="G183"/>
      <c r="H183" t="inlineStr">
        <is>
          <t>Website, Pic Posts / Album</t>
        </is>
      </c>
      <c r="I183" t="inlineStr">
        <is>
          <t>งานประจำวัน</t>
        </is>
      </c>
      <c r="J183" t="inlineStr">
        <is>
          <t>Done</t>
        </is>
      </c>
      <c r="K183"/>
      <c r="L183" s="3"/>
      <c r="M183"/>
      <c r="N183" t="inlineStr">
        <is>
          <t>Tech, ทั่วไป</t>
        </is>
      </c>
      <c r="O183"/>
    </row>
    <row r="184" ht="12.75" customHeight="1">
      <c r="A184" t="inlineStr">
        <is>
          <t xml:space="preserve">Galaxy Unpacked 2026 </t>
        </is>
      </c>
      <c r="B184" t="inlineStr">
        <is>
          <t>Saktaphat Kordjan</t>
        </is>
      </c>
      <c r="C184" s="2">
        <v>46064</v>
      </c>
      <c r="D184" s="2">
        <v>46064</v>
      </c>
      <c r="E184"/>
      <c r="F184" s="3"/>
      <c r="G184"/>
      <c r="H184" t="inlineStr">
        <is>
          <t>Website, Shorts</t>
        </is>
      </c>
      <c r="I184" t="inlineStr">
        <is>
          <t>เสนอไอเดีย</t>
        </is>
      </c>
      <c r="J184" t="inlineStr">
        <is>
          <t>Done</t>
        </is>
      </c>
      <c r="K184"/>
      <c r="L184" s="3"/>
      <c r="M184"/>
      <c r="N184" t="inlineStr">
        <is>
          <t>Android</t>
        </is>
      </c>
      <c r="O184"/>
    </row>
    <row r="185" ht="12.75" customHeight="1">
      <c r="A185" t="inlineStr">
        <is>
          <t>หุ่นยนต์สุนัขของจีน ถูกพัฒนาให้ทำได้มากกว่าการเป็นของเล่น</t>
        </is>
      </c>
      <c r="B185" t="inlineStr">
        <is>
          <t>Saktaphat Kordjan</t>
        </is>
      </c>
      <c r="C185" s="2">
        <v>46064</v>
      </c>
      <c r="D185" s="2">
        <v>46064</v>
      </c>
      <c r="E185"/>
      <c r="F185" s="3"/>
      <c r="G185"/>
      <c r="H185" t="inlineStr">
        <is>
          <t>Website, Pic Posts / Album</t>
        </is>
      </c>
      <c r="I185" t="inlineStr">
        <is>
          <t>งานประจำวัน</t>
        </is>
      </c>
      <c r="J185" t="inlineStr">
        <is>
          <t>Done</t>
        </is>
      </c>
      <c r="K185"/>
      <c r="L185" s="3"/>
      <c r="M185"/>
      <c r="N185" t="inlineStr">
        <is>
          <t>Tech</t>
        </is>
      </c>
      <c r="O185"/>
    </row>
    <row r="186" ht="12.75" customHeight="1">
      <c r="A186" t="inlineStr">
        <is>
          <t>NASA อนุญาตให้นักบินอวกาศนำ iPhone ไปอวกาศ ได้แล้ว!</t>
        </is>
      </c>
      <c r="B186" t="inlineStr">
        <is>
          <t>Thitirath Kinaret</t>
        </is>
      </c>
      <c r="C186" s="2">
        <v>46064</v>
      </c>
      <c r="D186" s="2">
        <v>46064</v>
      </c>
      <c r="E186"/>
      <c r="F186" s="3"/>
      <c r="G186"/>
      <c r="H186" t="inlineStr">
        <is>
          <t>Website, Pic Posts / Album</t>
        </is>
      </c>
      <c r="I186" t="inlineStr">
        <is>
          <t>งานประจำวัน</t>
        </is>
      </c>
      <c r="J186" t="inlineStr">
        <is>
          <t>Done</t>
        </is>
      </c>
      <c r="K186"/>
      <c r="L186" s="3"/>
      <c r="M186"/>
      <c r="N186" t="inlineStr">
        <is>
          <t>Tech</t>
        </is>
      </c>
      <c r="O186"/>
    </row>
    <row r="187" ht="12.75" customHeight="1">
      <c r="A187" t="inlineStr">
        <is>
          <t>Startup รัสเซีย แฮกสมองนกพิราบ เปลี่ยนเป็น bio-drones</t>
        </is>
      </c>
      <c r="B187" t="inlineStr">
        <is>
          <t>Thitirath Kinaret</t>
        </is>
      </c>
      <c r="C187" s="2">
        <v>46064</v>
      </c>
      <c r="D187" s="2">
        <v>46064</v>
      </c>
      <c r="E187"/>
      <c r="F187" s="3"/>
      <c r="G187"/>
      <c r="H187" t="inlineStr">
        <is>
          <t>Pic Posts / Album, Website</t>
        </is>
      </c>
      <c r="I187" t="inlineStr">
        <is>
          <t>งานประจำวัน</t>
        </is>
      </c>
      <c r="J187" t="inlineStr">
        <is>
          <t>Done</t>
        </is>
      </c>
      <c r="K187"/>
      <c r="L187" s="3"/>
      <c r="M187"/>
      <c r="N187" t="inlineStr">
        <is>
          <t>Tech</t>
        </is>
      </c>
      <c r="O187"/>
    </row>
    <row r="188" ht="12.75" customHeight="1">
      <c r="A188" t="inlineStr">
        <is>
          <t>เปิดตัว JBL 4369 ลำโพง Flagship สุดหรู ดีไซน์ย้อนยุค 70s ราคา 8 แสน!</t>
        </is>
      </c>
      <c r="B188" t="inlineStr">
        <is>
          <t>Thitirath Kinaret</t>
        </is>
      </c>
      <c r="C188" s="2">
        <v>46064</v>
      </c>
      <c r="D188" s="2">
        <v>46064</v>
      </c>
      <c r="E188"/>
      <c r="F188" s="3"/>
      <c r="G188"/>
      <c r="H188" t="inlineStr">
        <is>
          <t>Website, Pic Posts / Album</t>
        </is>
      </c>
      <c r="I188" t="inlineStr">
        <is>
          <t>งานประจำวัน</t>
        </is>
      </c>
      <c r="J188" t="inlineStr">
        <is>
          <t>Done</t>
        </is>
      </c>
      <c r="K188"/>
      <c r="L188" s="3"/>
      <c r="M188"/>
      <c r="N188" t="inlineStr">
        <is>
          <t>Tech</t>
        </is>
      </c>
      <c r="O188"/>
    </row>
    <row r="189" ht="12.75" customHeight="1">
      <c r="A189" t="inlineStr">
        <is>
          <t>อินเดียออกกฎ บริษัทโซเชียลต้อง ลบเนื้อหาโซเชียล ใน 3 ชั่วโมงหากรัฐสั่ง</t>
        </is>
      </c>
      <c r="B189" t="inlineStr">
        <is>
          <t>Thitirath Kinaret</t>
        </is>
      </c>
      <c r="C189" s="2">
        <v>46064</v>
      </c>
      <c r="D189" s="2">
        <v>46064</v>
      </c>
      <c r="E189"/>
      <c r="F189" s="3"/>
      <c r="G189"/>
      <c r="H189" t="inlineStr">
        <is>
          <t>Website, Pic Posts / Album</t>
        </is>
      </c>
      <c r="I189" t="inlineStr">
        <is>
          <t>งานประจำวัน</t>
        </is>
      </c>
      <c r="J189" t="inlineStr">
        <is>
          <t>Done</t>
        </is>
      </c>
      <c r="K189"/>
      <c r="L189" s="3"/>
      <c r="M189"/>
      <c r="N189" t="inlineStr">
        <is>
          <t>Tech</t>
        </is>
      </c>
      <c r="O189"/>
    </row>
    <row r="190" ht="12.75" customHeight="1">
      <c r="A190" t="inlineStr">
        <is>
          <t>Tim Cook สัญญาจะฉลอง ครบรอบ 50 ปี Apple อย่างยิ่งใหญ่!</t>
        </is>
      </c>
      <c r="B190" t="inlineStr">
        <is>
          <t>Thitirath Kinaret</t>
        </is>
      </c>
      <c r="C190" s="2">
        <v>46064</v>
      </c>
      <c r="D190" s="2">
        <v>46064</v>
      </c>
      <c r="E190"/>
      <c r="F190" s="3"/>
      <c r="G190"/>
      <c r="H190" t="inlineStr">
        <is>
          <t>Website</t>
        </is>
      </c>
      <c r="I190" t="inlineStr">
        <is>
          <t>งานประจำวัน</t>
        </is>
      </c>
      <c r="J190" t="inlineStr">
        <is>
          <t>Done</t>
        </is>
      </c>
      <c r="K190"/>
      <c r="L190" s="3"/>
      <c r="M190"/>
      <c r="N190" t="inlineStr">
        <is>
          <t>Apple</t>
        </is>
      </c>
      <c r="O190"/>
    </row>
    <row r="191" ht="12.75" customHeight="1">
      <c r="A191" t="inlineStr">
        <is>
          <t>Apple พัฒนาระบบ Touch ID ใต้หน้าจอ อาจใช้งานได้ทั้ง iPhone, iPad และ Mac</t>
        </is>
      </c>
      <c r="B191" t="inlineStr">
        <is>
          <t>Thitirath Kinaret</t>
        </is>
      </c>
      <c r="C191" s="2">
        <v>46064</v>
      </c>
      <c r="D191" s="2">
        <v>46064</v>
      </c>
      <c r="E191"/>
      <c r="F191" s="3"/>
      <c r="G191"/>
      <c r="H191" t="inlineStr">
        <is>
          <t>Pic Posts / Album, Website</t>
        </is>
      </c>
      <c r="I191" t="inlineStr">
        <is>
          <t>งานประจำวัน</t>
        </is>
      </c>
      <c r="J191" t="inlineStr">
        <is>
          <t>Done</t>
        </is>
      </c>
      <c r="K191"/>
      <c r="L191" s="3"/>
      <c r="M191"/>
      <c r="N191" t="inlineStr">
        <is>
          <t>Apple</t>
        </is>
      </c>
      <c r="O191"/>
    </row>
    <row r="192" ht="12.75" customHeight="1">
      <c r="A192" t="inlineStr">
        <is>
          <t>ราคา iPhone 18 Pro อาจเท่า iPhone 17 Pro</t>
        </is>
      </c>
      <c r="B192" t="inlineStr">
        <is>
          <t>Thitirath Kinaret</t>
        </is>
      </c>
      <c r="C192" s="2">
        <v>46064</v>
      </c>
      <c r="D192" s="2">
        <v>46064</v>
      </c>
      <c r="E192"/>
      <c r="F192" s="3"/>
      <c r="G192"/>
      <c r="H192" t="inlineStr">
        <is>
          <t>Website, Pic Posts / Album</t>
        </is>
      </c>
      <c r="I192" t="inlineStr">
        <is>
          <t>งานประจำวัน</t>
        </is>
      </c>
      <c r="J192" t="inlineStr">
        <is>
          <t>Done</t>
        </is>
      </c>
      <c r="K192"/>
      <c r="L192" s="3"/>
      <c r="M192"/>
      <c r="N192" t="inlineStr">
        <is>
          <t>Apple</t>
        </is>
      </c>
      <c r="O192"/>
    </row>
    <row r="193" ht="12.75" customHeight="1">
      <c r="A193" t="inlineStr">
        <is>
          <t>iPhone 17 Pro Max ประสบการณ์จริง หลังใช้มา 5 เดือน</t>
        </is>
      </c>
      <c r="B193" t="inlineStr">
        <is>
          <t>Thitirath Kinaret</t>
        </is>
      </c>
      <c r="C193" s="2">
        <v>46064</v>
      </c>
      <c r="D193" s="2">
        <v>46064</v>
      </c>
      <c r="E193"/>
      <c r="F193" s="3"/>
      <c r="G193"/>
      <c r="H193" t="inlineStr">
        <is>
          <t>YouTube</t>
        </is>
      </c>
      <c r="I193" t="inlineStr">
        <is>
          <t>งานประจำวัน</t>
        </is>
      </c>
      <c r="J193" t="inlineStr">
        <is>
          <t>Done</t>
        </is>
      </c>
      <c r="K193"/>
      <c r="L193" s="3"/>
      <c r="M193"/>
      <c r="N193" t="inlineStr">
        <is>
          <t>Apple</t>
        </is>
      </c>
      <c r="O193"/>
    </row>
    <row r="194" ht="12.75" customHeight="1">
      <c r="A194" t="inlineStr">
        <is>
          <t>ไอเดียของขวัญสินค้า Apple วันวาเลนไทน์ 2026</t>
        </is>
      </c>
      <c r="B194" t="inlineStr">
        <is>
          <t>Thitirath Kinaret</t>
        </is>
      </c>
      <c r="C194" s="2">
        <v>46064</v>
      </c>
      <c r="D194" s="2">
        <v>46064</v>
      </c>
      <c r="E194"/>
      <c r="F194" s="3"/>
      <c r="G194"/>
      <c r="H194" t="inlineStr">
        <is>
          <t>Pic Posts / Album</t>
        </is>
      </c>
      <c r="I194" t="inlineStr">
        <is>
          <t>งานประจำวัน</t>
        </is>
      </c>
      <c r="J194" t="inlineStr">
        <is>
          <t>Done</t>
        </is>
      </c>
      <c r="K194"/>
      <c r="L194" s="3"/>
      <c r="M194"/>
      <c r="N194" t="inlineStr">
        <is>
          <t>Apple</t>
        </is>
      </c>
      <c r="O194"/>
    </row>
    <row r="195" ht="12.75" customHeight="1">
      <c r="A195" t="inlineStr">
        <is>
          <t>Ai reconstruct Roman boardgame</t>
        </is>
      </c>
      <c r="B195" t="inlineStr">
        <is>
          <t>Krongkwun  Rithiwong</t>
        </is>
      </c>
      <c r="C195" s="2">
        <v>46064</v>
      </c>
      <c r="D195" s="2">
        <v>46064</v>
      </c>
      <c r="E195" t="inlineStr">
        <is>
          <t>ปกติ</t>
        </is>
      </c>
      <c r="F195" s="3" t="str">
        <f>=HYPERLINK("https://www.iphonemod.net/ai-reconstruct-rules-roman-board-game.html", "https://www.iphonemod.net/ai-reconstruct-rules-roman-board-game.html")</f>
        <v>https://www.iphonemod.net/ai-reconstruct-rules-roman-board-game.html</v>
      </c>
      <c r="G195"/>
      <c r="H195" t="inlineStr">
        <is>
          <t>Website</t>
        </is>
      </c>
      <c r="I195" t="inlineStr">
        <is>
          <t>งานประจำวัน</t>
        </is>
      </c>
      <c r="J195" t="inlineStr">
        <is>
          <t>Done</t>
        </is>
      </c>
      <c r="K195"/>
      <c r="L195" s="3"/>
      <c r="M195" t="inlineStr">
        <is>
          <t>1</t>
        </is>
      </c>
      <c r="N195" t="inlineStr">
        <is>
          <t>Tech, AI</t>
        </is>
      </c>
      <c r="O195"/>
    </row>
    <row r="196" ht="12.75" customHeight="1">
      <c r="A196" t="inlineStr">
        <is>
          <t>ADs ChatGPT เริ่มแล้ว</t>
        </is>
      </c>
      <c r="B196" t="inlineStr">
        <is>
          <t>Nattida Suriyodara</t>
        </is>
      </c>
      <c r="C196" s="2">
        <v>46063</v>
      </c>
      <c r="D196" s="2">
        <v>46063</v>
      </c>
      <c r="E196"/>
      <c r="F196" s="3"/>
      <c r="G196"/>
      <c r="H196" t="inlineStr">
        <is>
          <t>Website</t>
        </is>
      </c>
      <c r="I196" t="inlineStr">
        <is>
          <t>งานประจำวัน</t>
        </is>
      </c>
      <c r="J196" t="inlineStr">
        <is>
          <t>Done</t>
        </is>
      </c>
      <c r="K196"/>
      <c r="L196" s="3"/>
      <c r="M196"/>
      <c r="N196" t="inlineStr">
        <is>
          <t>AI</t>
        </is>
      </c>
      <c r="O196"/>
    </row>
    <row r="197" ht="12.75" customHeight="1">
      <c r="A197" t="inlineStr">
        <is>
          <t>Apple พัฒนา AI สร้างเสียง</t>
        </is>
      </c>
      <c r="B197" t="inlineStr">
        <is>
          <t>Nattida Suriyodara</t>
        </is>
      </c>
      <c r="C197" s="2">
        <v>46063</v>
      </c>
      <c r="D197" s="2">
        <v>46063</v>
      </c>
      <c r="E197"/>
      <c r="F197" s="3"/>
      <c r="G197"/>
      <c r="H197" t="inlineStr">
        <is>
          <t>Website</t>
        </is>
      </c>
      <c r="I197" t="inlineStr">
        <is>
          <t>งานประจำวัน</t>
        </is>
      </c>
      <c r="J197" t="inlineStr">
        <is>
          <t>Done</t>
        </is>
      </c>
      <c r="K197"/>
      <c r="L197" s="3"/>
      <c r="M197"/>
      <c r="N197" t="inlineStr">
        <is>
          <t>Apple, AI</t>
        </is>
      </c>
      <c r="O197"/>
    </row>
    <row r="198" ht="12.75" customHeight="1">
      <c r="A198" t="inlineStr">
        <is>
          <t>Discord บังคับยืนยันตัวตน</t>
        </is>
      </c>
      <c r="B198" t="inlineStr">
        <is>
          <t>Nattida Suriyodara</t>
        </is>
      </c>
      <c r="C198" s="2">
        <v>46063</v>
      </c>
      <c r="D198" s="2">
        <v>46063</v>
      </c>
      <c r="E198"/>
      <c r="F198" s="3"/>
      <c r="G198"/>
      <c r="H198" t="inlineStr">
        <is>
          <t>Website</t>
        </is>
      </c>
      <c r="I198" t="inlineStr">
        <is>
          <t>งานประจำวัน</t>
        </is>
      </c>
      <c r="J198" t="inlineStr">
        <is>
          <t>Done</t>
        </is>
      </c>
      <c r="K198"/>
      <c r="L198" s="3"/>
      <c r="M198"/>
      <c r="N198" t="inlineStr">
        <is>
          <t>Tech, AI</t>
        </is>
      </c>
      <c r="O198"/>
    </row>
    <row r="199" ht="12.75" customHeight="1">
      <c r="A199" t="inlineStr">
        <is>
          <t>ประสบการณ์ใช้ iPhone 17 5 เดือน</t>
        </is>
      </c>
      <c r="B199" t="inlineStr">
        <is>
          <t>Nattida Suriyodara</t>
        </is>
      </c>
      <c r="C199" s="2">
        <v>46063</v>
      </c>
      <c r="D199" s="2">
        <v>46063</v>
      </c>
      <c r="E199"/>
      <c r="F199" s="3"/>
      <c r="G199"/>
      <c r="H199" t="inlineStr">
        <is>
          <t>YouTube</t>
        </is>
      </c>
      <c r="I199" t="inlineStr">
        <is>
          <t>งานประจำวัน</t>
        </is>
      </c>
      <c r="J199" t="inlineStr">
        <is>
          <t>Done</t>
        </is>
      </c>
      <c r="K199"/>
      <c r="L199" s="3"/>
      <c r="M199"/>
      <c r="N199" t="inlineStr">
        <is>
          <t>Apple</t>
        </is>
      </c>
      <c r="O199"/>
    </row>
    <row r="200" ht="12.75" customHeight="1">
      <c r="A200" t="inlineStr">
        <is>
          <t>Apple ร่วมพัฒนา AI สร้างเสียง</t>
        </is>
      </c>
      <c r="B200" t="inlineStr">
        <is>
          <t>Nattida Suriyodara</t>
        </is>
      </c>
      <c r="C200" s="2">
        <v>46063</v>
      </c>
      <c r="D200" s="2">
        <v>46063</v>
      </c>
      <c r="E200"/>
      <c r="F200" s="3"/>
      <c r="G200"/>
      <c r="H200" t="inlineStr">
        <is>
          <t>Pic Posts / Album</t>
        </is>
      </c>
      <c r="I200" t="inlineStr">
        <is>
          <t>งานประจำวัน</t>
        </is>
      </c>
      <c r="J200" t="inlineStr">
        <is>
          <t>Done</t>
        </is>
      </c>
      <c r="K200"/>
      <c r="L200" s="3"/>
      <c r="M200"/>
      <c r="N200" t="inlineStr">
        <is>
          <t>Apple, AI</t>
        </is>
      </c>
      <c r="O200"/>
    </row>
    <row r="201" ht="12.75" customHeight="1">
      <c r="A201" t="inlineStr">
        <is>
          <t>ลือ! AirPods Pro 4 อาจมีกล้องในตัว! ราคาเท่าเดิม 249 ดอลลาร์</t>
        </is>
      </c>
      <c r="B201" t="inlineStr">
        <is>
          <t>Thitirath Kinaret</t>
        </is>
      </c>
      <c r="C201" s="2">
        <v>46063</v>
      </c>
      <c r="D201" s="2">
        <v>46063</v>
      </c>
      <c r="E201"/>
      <c r="F201" s="3"/>
      <c r="G201"/>
      <c r="H201" t="inlineStr">
        <is>
          <t>Pic Posts / Album, Website</t>
        </is>
      </c>
      <c r="I201" t="inlineStr">
        <is>
          <t>งานประจำวัน</t>
        </is>
      </c>
      <c r="J201" t="inlineStr">
        <is>
          <t>Done</t>
        </is>
      </c>
      <c r="K201"/>
      <c r="L201" s="3"/>
      <c r="M201"/>
      <c r="N201" t="inlineStr">
        <is>
          <t>Apple</t>
        </is>
      </c>
      <c r="O201"/>
    </row>
    <row r="202" ht="12.75" customHeight="1">
      <c r="A202" t="inlineStr">
        <is>
          <t>M5 Pro และ M5 Max อาจเป็นชิปตัวเดียวกัน!</t>
        </is>
      </c>
      <c r="B202" t="inlineStr">
        <is>
          <t>Thitirath Kinaret</t>
        </is>
      </c>
      <c r="C202" s="2">
        <v>46063</v>
      </c>
      <c r="D202" s="2">
        <v>46063</v>
      </c>
      <c r="E202"/>
      <c r="F202" s="3"/>
      <c r="G202"/>
      <c r="H202" t="inlineStr">
        <is>
          <t>Pic Posts / Album, Website</t>
        </is>
      </c>
      <c r="I202" t="inlineStr">
        <is>
          <t>งานประจำวัน</t>
        </is>
      </c>
      <c r="J202" t="inlineStr">
        <is>
          <t>Done</t>
        </is>
      </c>
      <c r="K202"/>
      <c r="L202" s="3"/>
      <c r="M202"/>
      <c r="N202" t="inlineStr">
        <is>
          <t>Apple</t>
        </is>
      </c>
      <c r="O202"/>
    </row>
    <row r="203" ht="12.75" customHeight="1">
      <c r="A203" t="inlineStr">
        <is>
          <t>Samsung วางแผนใส่กล้อง Variable Aperture ตาม iPhone 18 Pro</t>
        </is>
      </c>
      <c r="B203" t="inlineStr">
        <is>
          <t>Thitirath Kinaret</t>
        </is>
      </c>
      <c r="C203" s="2">
        <v>46063</v>
      </c>
      <c r="D203" s="2">
        <v>46063</v>
      </c>
      <c r="E203"/>
      <c r="F203" s="3"/>
      <c r="G203"/>
      <c r="H203" t="inlineStr">
        <is>
          <t>Pic Posts / Album, Website</t>
        </is>
      </c>
      <c r="I203" t="inlineStr">
        <is>
          <t>งานประจำวัน</t>
        </is>
      </c>
      <c r="J203" t="inlineStr">
        <is>
          <t>Done</t>
        </is>
      </c>
      <c r="K203"/>
      <c r="L203" s="3"/>
      <c r="M203"/>
      <c r="N203" t="inlineStr">
        <is>
          <t>Apple</t>
        </is>
      </c>
      <c r="O203"/>
    </row>
    <row r="204" ht="12.75" customHeight="1">
      <c r="A204" t="inlineStr">
        <is>
          <t>MacBook รุ่นประหยัด ชิป iPhone ยังมีแผนเปิดตัวต้นปี 2026</t>
        </is>
      </c>
      <c r="B204" t="inlineStr">
        <is>
          <t>Thitirath Kinaret</t>
        </is>
      </c>
      <c r="C204" s="2">
        <v>46063</v>
      </c>
      <c r="D204" s="2">
        <v>46063</v>
      </c>
      <c r="E204"/>
      <c r="F204" s="3"/>
      <c r="G204"/>
      <c r="H204" t="inlineStr">
        <is>
          <t>Pic Posts / Album, Website</t>
        </is>
      </c>
      <c r="I204" t="inlineStr">
        <is>
          <t>งานประจำวัน</t>
        </is>
      </c>
      <c r="J204" t="inlineStr">
        <is>
          <t>Done</t>
        </is>
      </c>
      <c r="K204"/>
      <c r="L204" s="3"/>
      <c r="M204"/>
      <c r="N204" t="inlineStr">
        <is>
          <t>Apple</t>
        </is>
      </c>
      <c r="O204"/>
    </row>
    <row r="205" ht="12.75" customHeight="1">
      <c r="A205" t="inlineStr">
        <is>
          <t>เผยดีไซน์ภายใน Luce รถ EV คันแรกของ Ferrari ออกแบบโดย Jony Ive</t>
        </is>
      </c>
      <c r="B205" t="inlineStr">
        <is>
          <t>Thitirath Kinaret</t>
        </is>
      </c>
      <c r="C205" s="2">
        <v>46063</v>
      </c>
      <c r="D205" s="2">
        <v>46063</v>
      </c>
      <c r="E205"/>
      <c r="F205" s="3"/>
      <c r="G205"/>
      <c r="H205" t="inlineStr">
        <is>
          <t>Pic Posts / Album, Website</t>
        </is>
      </c>
      <c r="I205" t="inlineStr">
        <is>
          <t>งานประจำวัน</t>
        </is>
      </c>
      <c r="J205" t="inlineStr">
        <is>
          <t>Done</t>
        </is>
      </c>
      <c r="K205"/>
      <c r="L205" s="3"/>
      <c r="M205"/>
      <c r="N205" t="inlineStr">
        <is>
          <t>Apple, EV</t>
        </is>
      </c>
      <c r="O205"/>
    </row>
    <row r="206" ht="12.75" customHeight="1">
      <c r="A206" t="inlineStr">
        <is>
          <t>Samsung AI 2026</t>
        </is>
      </c>
      <c r="B206" t="inlineStr">
        <is>
          <t>Saktaphat Kordjan</t>
        </is>
      </c>
      <c r="C206" s="2">
        <v>46063</v>
      </c>
      <c r="D206" s="2">
        <v>46063</v>
      </c>
      <c r="E206"/>
      <c r="F206" s="3"/>
      <c r="G206"/>
      <c r="H206" t="inlineStr">
        <is>
          <t>Pic Posts / Album</t>
        </is>
      </c>
      <c r="I206" t="inlineStr">
        <is>
          <t>งานประจำวัน</t>
        </is>
      </c>
      <c r="J206" t="inlineStr">
        <is>
          <t>Done</t>
        </is>
      </c>
      <c r="K206"/>
      <c r="L206" s="3"/>
      <c r="M206"/>
      <c r="N206" t="inlineStr">
        <is>
          <t>Android</t>
        </is>
      </c>
      <c r="O206"/>
    </row>
    <row r="207" ht="12.75" customHeight="1">
      <c r="A207" t="inlineStr">
        <is>
          <t>เนื้อเพลง YouTube Music ถูกจำกัดการดู สำหรับคนที่ไม่ได้สมัคร Premium</t>
        </is>
      </c>
      <c r="B207" t="inlineStr">
        <is>
          <t>Saktaphat Kordjan</t>
        </is>
      </c>
      <c r="C207" s="2">
        <v>46063</v>
      </c>
      <c r="D207" s="2">
        <v>46063</v>
      </c>
      <c r="E207"/>
      <c r="F207" s="3"/>
      <c r="G207"/>
      <c r="H207" t="inlineStr">
        <is>
          <t>Website, Pic Posts / Album</t>
        </is>
      </c>
      <c r="I207" t="inlineStr">
        <is>
          <t>งานประจำวัน</t>
        </is>
      </c>
      <c r="J207" t="inlineStr">
        <is>
          <t>Done</t>
        </is>
      </c>
      <c r="K207"/>
      <c r="L207" s="3"/>
      <c r="M207"/>
      <c r="N207" t="inlineStr">
        <is>
          <t>ทั่วไป</t>
        </is>
      </c>
      <c r="O207"/>
    </row>
    <row r="208" ht="12.75" customHeight="1">
      <c r="A208" t="inlineStr">
        <is>
          <t>เครื่องฟอกอากาศ Levoit</t>
        </is>
      </c>
      <c r="B208" t="inlineStr">
        <is>
          <t>Saktaphat Kordjan</t>
        </is>
      </c>
      <c r="C208" s="2">
        <v>46063</v>
      </c>
      <c r="D208" s="2">
        <v>46063</v>
      </c>
      <c r="E208"/>
      <c r="F208" s="3"/>
      <c r="G208"/>
      <c r="H208" t="inlineStr">
        <is>
          <t>YouTube</t>
        </is>
      </c>
      <c r="I208" t="inlineStr">
        <is>
          <t>งานลูกค้า</t>
        </is>
      </c>
      <c r="J208" t="inlineStr">
        <is>
          <t>On Process</t>
        </is>
      </c>
      <c r="K208"/>
      <c r="L208" s="3"/>
      <c r="M208" t="inlineStr">
        <is>
          <t>0</t>
        </is>
      </c>
      <c r="N208" t="inlineStr">
        <is>
          <t>ลูกค้า</t>
        </is>
      </c>
      <c r="O208" t="inlineStr">
        <is>
          <t>levoit</t>
        </is>
      </c>
    </row>
    <row r="209" ht="12.75" customHeight="1">
      <c r="A209" t="inlineStr">
        <is>
          <t>ฟีเจอร์ใหม่ Snapchat 'Arrival Notifications'</t>
        </is>
      </c>
      <c r="B209" t="inlineStr">
        <is>
          <t>Krongkwun  Rithiwong</t>
        </is>
      </c>
      <c r="C209" s="2">
        <v>46063</v>
      </c>
      <c r="D209" s="2">
        <v>46063</v>
      </c>
      <c r="E209" t="inlineStr">
        <is>
          <t>ปกติ</t>
        </is>
      </c>
      <c r="F209" s="3" t="str">
        <f>=HYPERLINK("https://www.iphonemod.net/snapchat-arrival-notifications-feature.html", "https://www.iphonemod.net/snapchat-arrival-notifications-feature.html")</f>
        <v>https://www.iphonemod.net/snapchat-arrival-notifications-feature.html</v>
      </c>
      <c r="G209"/>
      <c r="H209" t="inlineStr">
        <is>
          <t>Website</t>
        </is>
      </c>
      <c r="I209" t="inlineStr">
        <is>
          <t>งานประจำวัน</t>
        </is>
      </c>
      <c r="J209" t="inlineStr">
        <is>
          <t>Done</t>
        </is>
      </c>
      <c r="K209"/>
      <c r="L209" s="3"/>
      <c r="M209" t="inlineStr">
        <is>
          <t>1</t>
        </is>
      </c>
      <c r="N209" t="inlineStr">
        <is>
          <t>Tech, Apple</t>
        </is>
      </c>
      <c r="O209"/>
    </row>
    <row r="210" ht="12.75" customHeight="1">
      <c r="A210" t="inlineStr">
        <is>
          <t xml:space="preserve">AIS-AISpace </t>
        </is>
      </c>
      <c r="B210" t="inlineStr">
        <is>
          <t>Nattida Suriyodara</t>
        </is>
      </c>
      <c r="C210" s="2">
        <v>46063</v>
      </c>
      <c r="D210" s="2">
        <v>46063</v>
      </c>
      <c r="E210"/>
      <c r="F210" s="3"/>
      <c r="G210"/>
      <c r="H210" t="inlineStr">
        <is>
          <t>Pic Posts / Album</t>
        </is>
      </c>
      <c r="I210" t="inlineStr">
        <is>
          <t>งานลูกค้า</t>
        </is>
      </c>
      <c r="J210" t="inlineStr">
        <is>
          <t>Done</t>
        </is>
      </c>
      <c r="K210"/>
      <c r="L210" s="3"/>
      <c r="M210"/>
      <c r="N210" t="inlineStr">
        <is>
          <t>AI, ลูกค้า</t>
        </is>
      </c>
      <c r="O210" t="inlineStr">
        <is>
          <t>AIS</t>
        </is>
      </c>
    </row>
    <row r="211" ht="12.75" customHeight="1">
      <c r="A211" t="inlineStr">
        <is>
          <t>Heat it</t>
        </is>
      </c>
      <c r="B211" t="inlineStr">
        <is>
          <t>Krongkwun  Rithiwong</t>
        </is>
      </c>
      <c r="C211" s="2">
        <v>46063</v>
      </c>
      <c r="D211" s="2">
        <v>46063</v>
      </c>
      <c r="E211" t="inlineStr">
        <is>
          <t>ปกติ</t>
        </is>
      </c>
      <c r="F211" s="3"/>
      <c r="G211"/>
      <c r="H211" t="inlineStr">
        <is>
          <t>Website</t>
        </is>
      </c>
      <c r="I211" t="inlineStr">
        <is>
          <t>งานประจำวัน</t>
        </is>
      </c>
      <c r="J211" t="inlineStr">
        <is>
          <t>Done</t>
        </is>
      </c>
      <c r="K211"/>
      <c r="L211" s="3" t="str">
        <f>=HYPERLINK("https://www.iphonemod.net/snapchat-arrival-notifications-feature.html", "https://www.iphonemod.net/snapchat-arrival-notifications-feature.html")</f>
        <v>https://www.iphonemod.net/snapchat-arrival-notifications-feature.html</v>
      </c>
      <c r="M211" t="inlineStr">
        <is>
          <t>1</t>
        </is>
      </c>
      <c r="N211" t="inlineStr">
        <is>
          <t>Tech</t>
        </is>
      </c>
      <c r="O211"/>
    </row>
    <row r="212" ht="12.75" customHeight="1">
      <c r="A212" t="inlineStr">
        <is>
          <t>Razer Boomslang</t>
        </is>
      </c>
      <c r="B212" t="inlineStr">
        <is>
          <t>Krongkwun  Rithiwong</t>
        </is>
      </c>
      <c r="C212" s="2">
        <v>46063</v>
      </c>
      <c r="D212" s="2">
        <v>46091</v>
      </c>
      <c r="E212" t="inlineStr">
        <is>
          <t>ปกติ</t>
        </is>
      </c>
      <c r="F212" s="3"/>
      <c r="G212"/>
      <c r="H212" t="inlineStr">
        <is>
          <t>Website</t>
        </is>
      </c>
      <c r="I212" t="inlineStr">
        <is>
          <t>งานประจำวัน</t>
        </is>
      </c>
      <c r="J212" t="inlineStr">
        <is>
          <t>Done</t>
        </is>
      </c>
      <c r="K212"/>
      <c r="L212" s="3" t="str">
        <f>=HYPERLINK("https://www.iphonemod.net/razer-boomslang-20th-anniversary-limited-edition-1337.html", "https://www.iphonemod.net/razer-boomslang-20th-anniversary-limited-edition-1337.html")</f>
        <v>https://www.iphonemod.net/razer-boomslang-20th-anniversary-limited-edition-1337.html</v>
      </c>
      <c r="M212" t="inlineStr">
        <is>
          <t>1</t>
        </is>
      </c>
      <c r="N212" t="inlineStr">
        <is>
          <t>Tech</t>
        </is>
      </c>
      <c r="O212"/>
    </row>
    <row r="213" ht="12.75" customHeight="1">
      <c r="A213" t="inlineStr">
        <is>
          <t>ลือ iPad รุ่นที่ 12 และ iPad Air 8 เตรียมเปิดตัวเร็ว ๆ นี้ มาพร้อมชิปใหม่</t>
        </is>
      </c>
      <c r="B213" t="inlineStr">
        <is>
          <t>Thitirath Kinaret</t>
        </is>
      </c>
      <c r="C213" s="2">
        <v>46062</v>
      </c>
      <c r="D213" s="2">
        <v>46062</v>
      </c>
      <c r="E213"/>
      <c r="F213" s="3"/>
      <c r="G213"/>
      <c r="H213" t="inlineStr">
        <is>
          <t>Website, Pic Posts / Album</t>
        </is>
      </c>
      <c r="I213" t="inlineStr">
        <is>
          <t>งานประจำวัน</t>
        </is>
      </c>
      <c r="J213" t="inlineStr">
        <is>
          <t>Done</t>
        </is>
      </c>
      <c r="K213"/>
      <c r="L213" s="3"/>
      <c r="M213"/>
      <c r="N213" t="inlineStr">
        <is>
          <t>Apple</t>
        </is>
      </c>
      <c r="O213"/>
    </row>
    <row r="214" ht="12.75" customHeight="1">
      <c r="A214" t="inlineStr">
        <is>
          <t>MacBook Pro รุ่นใหม่ชิป M5 Pro และ M5 Max อาจเปิดตัวต้นเดือน มี.ค. 2026 นี้</t>
        </is>
      </c>
      <c r="B214" t="inlineStr">
        <is>
          <t>Thitirath Kinaret</t>
        </is>
      </c>
      <c r="C214" s="2">
        <v>46062</v>
      </c>
      <c r="D214" s="2">
        <v>46062</v>
      </c>
      <c r="E214"/>
      <c r="F214" s="3"/>
      <c r="G214"/>
      <c r="H214" t="inlineStr">
        <is>
          <t>Website, Pic Posts / Album</t>
        </is>
      </c>
      <c r="I214" t="inlineStr">
        <is>
          <t>งานประจำวัน</t>
        </is>
      </c>
      <c r="J214" t="inlineStr">
        <is>
          <t>Done</t>
        </is>
      </c>
      <c r="K214"/>
      <c r="L214" s="3"/>
      <c r="M214"/>
      <c r="N214" t="inlineStr">
        <is>
          <t>Apple</t>
        </is>
      </c>
      <c r="O214"/>
    </row>
    <row r="215" ht="12.75" customHeight="1">
      <c r="A215" t="inlineStr">
        <is>
          <t>Gurman เผย iPhone 17e เปิดตัวเร็ว ๆ นี้ มาพร้อม 4 ฟีเจอร์ใหม่</t>
        </is>
      </c>
      <c r="B215" t="inlineStr">
        <is>
          <t>Thitirath Kinaret</t>
        </is>
      </c>
      <c r="C215" s="2">
        <v>46062</v>
      </c>
      <c r="D215" s="2">
        <v>46062</v>
      </c>
      <c r="E215"/>
      <c r="F215" s="3"/>
      <c r="G215"/>
      <c r="H215" t="inlineStr">
        <is>
          <t>Pic Posts / Album, Website</t>
        </is>
      </c>
      <c r="I215" t="inlineStr">
        <is>
          <t>งานประจำวัน</t>
        </is>
      </c>
      <c r="J215" t="inlineStr">
        <is>
          <t>Done</t>
        </is>
      </c>
      <c r="K215"/>
      <c r="L215" s="3"/>
      <c r="M215"/>
      <c r="N215" t="inlineStr">
        <is>
          <t>Apple</t>
        </is>
      </c>
      <c r="O215"/>
    </row>
    <row r="216" ht="12.75" customHeight="1">
      <c r="A216" t="inlineStr">
        <is>
          <t>iOS 27 เน้นแก้บั๊ก ปรับปรุงประสิทธิภาพ และปรับดีไซน์บางส่วน, WWDC 2026 จะดูกร่อย ๆ</t>
        </is>
      </c>
      <c r="B216" t="inlineStr">
        <is>
          <t>Thitirath Kinaret</t>
        </is>
      </c>
      <c r="C216" s="2">
        <v>46062</v>
      </c>
      <c r="D216" s="2">
        <v>46062</v>
      </c>
      <c r="E216"/>
      <c r="F216" s="3"/>
      <c r="G216"/>
      <c r="H216" t="inlineStr">
        <is>
          <t>Website, Pic Posts / Album</t>
        </is>
      </c>
      <c r="I216" t="inlineStr">
        <is>
          <t>งานประจำวัน</t>
        </is>
      </c>
      <c r="J216" t="inlineStr">
        <is>
          <t>Done</t>
        </is>
      </c>
      <c r="K216"/>
      <c r="L216" s="3"/>
      <c r="M216"/>
      <c r="N216" t="inlineStr">
        <is>
          <t>Apple</t>
        </is>
      </c>
      <c r="O216"/>
    </row>
    <row r="217" ht="12.75" customHeight="1">
      <c r="A217" t="inlineStr">
        <is>
          <t>นิวยอร์กเตรียมออกกฎหมายควบคุมเนื้อหา AI และชะลอการสร้าง Data Center</t>
        </is>
      </c>
      <c r="B217" t="inlineStr">
        <is>
          <t>Thitirath Kinaret</t>
        </is>
      </c>
      <c r="C217" s="2">
        <v>46062</v>
      </c>
      <c r="D217" s="2">
        <v>46062</v>
      </c>
      <c r="E217"/>
      <c r="F217" s="3"/>
      <c r="G217"/>
      <c r="H217" t="inlineStr">
        <is>
          <t>Pic Posts / Album, Website</t>
        </is>
      </c>
      <c r="I217" t="inlineStr">
        <is>
          <t>งานประจำวัน</t>
        </is>
      </c>
      <c r="J217" t="inlineStr">
        <is>
          <t>Done</t>
        </is>
      </c>
      <c r="K217"/>
      <c r="L217" s="3"/>
      <c r="M217"/>
      <c r="N217" t="inlineStr">
        <is>
          <t>AI</t>
        </is>
      </c>
      <c r="O217"/>
    </row>
    <row r="218" ht="12.75" customHeight="1">
      <c r="A218" t="inlineStr">
        <is>
          <t>เจ้าของเว็บ Crypto ซื้อโดเมน AI.com มูลค่า 70 ล้านดอลลาร์ ก่อนเปิดตัวใน Super Bowl</t>
        </is>
      </c>
      <c r="B218" t="inlineStr">
        <is>
          <t>Thitirath Kinaret</t>
        </is>
      </c>
      <c r="C218" s="2">
        <v>46062</v>
      </c>
      <c r="D218" s="2">
        <v>46062</v>
      </c>
      <c r="E218"/>
      <c r="F218" s="3"/>
      <c r="G218"/>
      <c r="H218" t="inlineStr">
        <is>
          <t>Website</t>
        </is>
      </c>
      <c r="I218" t="inlineStr">
        <is>
          <t>งานประจำวัน</t>
        </is>
      </c>
      <c r="J218" t="inlineStr">
        <is>
          <t>Done</t>
        </is>
      </c>
      <c r="K218"/>
      <c r="L218" s="3"/>
      <c r="M218"/>
      <c r="N218" t="inlineStr">
        <is>
          <t>AI</t>
        </is>
      </c>
      <c r="O218"/>
    </row>
    <row r="219" ht="12.75" customHeight="1">
      <c r="A219" t="inlineStr">
        <is>
          <t>iPhone 17 Pro สีส้ม Hermès Orange ดันยอดขาย Apple ในจีนพุ่ง 26,000 ล้านดอลลาร์
</t>
        </is>
      </c>
      <c r="B219" t="inlineStr">
        <is>
          <t>Thitirath Kinaret</t>
        </is>
      </c>
      <c r="C219" s="2">
        <v>46062</v>
      </c>
      <c r="D219" s="2">
        <v>46062</v>
      </c>
      <c r="E219"/>
      <c r="F219" s="3"/>
      <c r="G219"/>
      <c r="H219" t="inlineStr">
        <is>
          <t>Website, Pic Posts / Album</t>
        </is>
      </c>
      <c r="I219" t="inlineStr">
        <is>
          <t>งานประจำวัน</t>
        </is>
      </c>
      <c r="J219" t="inlineStr">
        <is>
          <t>Done</t>
        </is>
      </c>
      <c r="K219"/>
      <c r="L219" s="3"/>
      <c r="M219"/>
      <c r="N219" t="inlineStr">
        <is>
          <t>Apple</t>
        </is>
      </c>
      <c r="O219"/>
    </row>
    <row r="220" ht="12.75" customHeight="1">
      <c r="A220" t="inlineStr">
        <is>
          <t>Galaxy A07 5G สมาร์ทโฟนตัวแรง ใช้นาน ทนทาน แบตอึดทั้งวัน</t>
        </is>
      </c>
      <c r="B220" t="inlineStr">
        <is>
          <t>Saktaphat Kordjan</t>
        </is>
      </c>
      <c r="C220" s="2">
        <v>46062</v>
      </c>
      <c r="D220" s="2">
        <v>46062</v>
      </c>
      <c r="E220"/>
      <c r="F220" s="3"/>
      <c r="G220"/>
      <c r="H220" t="inlineStr">
        <is>
          <t>Website</t>
        </is>
      </c>
      <c r="I220" t="inlineStr">
        <is>
          <t>งานประจำวัน</t>
        </is>
      </c>
      <c r="J220" t="inlineStr">
        <is>
          <t>Done</t>
        </is>
      </c>
      <c r="K220"/>
      <c r="L220" s="3"/>
      <c r="M220"/>
      <c r="N220" t="inlineStr">
        <is>
          <t>PR</t>
        </is>
      </c>
      <c r="O220"/>
    </row>
    <row r="221" ht="12.75" customHeight="1">
      <c r="A221" t="inlineStr">
        <is>
          <t xml:space="preserve">แนะนำ PowerBank 2026 </t>
        </is>
      </c>
      <c r="B221" t="inlineStr">
        <is>
          <t>Saktaphat Kordjan,Krongkwun  Rithiwong</t>
        </is>
      </c>
      <c r="C221" s="2">
        <v>46062</v>
      </c>
      <c r="D221" s="2">
        <v>46062</v>
      </c>
      <c r="E221"/>
      <c r="F221" s="3"/>
      <c r="G221"/>
      <c r="H221" t="inlineStr">
        <is>
          <t>YouTube</t>
        </is>
      </c>
      <c r="I221" t="inlineStr">
        <is>
          <t>งานประจำวัน</t>
        </is>
      </c>
      <c r="J221" t="inlineStr">
        <is>
          <t>Done</t>
        </is>
      </c>
      <c r="K221"/>
      <c r="L221" s="3"/>
      <c r="M221" t="inlineStr">
        <is>
          <t>1</t>
        </is>
      </c>
      <c r="N221" t="inlineStr">
        <is>
          <t>ทั่วไป</t>
        </is>
      </c>
      <c r="O221"/>
    </row>
    <row r="222" ht="12.75" customHeight="1">
      <c r="A222" t="inlineStr">
        <is>
          <t>เปิดตัว HUAWEI Mate X7 จอพับเรือธงรุ่นใหม่ ก้าวล้ำทุกมิติ</t>
        </is>
      </c>
      <c r="B222" t="inlineStr">
        <is>
          <t>Saktaphat Kordjan</t>
        </is>
      </c>
      <c r="C222" s="2">
        <v>46062</v>
      </c>
      <c r="D222" s="2">
        <v>46062</v>
      </c>
      <c r="E222"/>
      <c r="F222" s="3"/>
      <c r="G222"/>
      <c r="H222" t="inlineStr">
        <is>
          <t>Website</t>
        </is>
      </c>
      <c r="I222" t="inlineStr">
        <is>
          <t>งานประจำวัน</t>
        </is>
      </c>
      <c r="J222" t="inlineStr">
        <is>
          <t>Done</t>
        </is>
      </c>
      <c r="K222"/>
      <c r="L222" s="3"/>
      <c r="M222"/>
      <c r="N222" t="inlineStr">
        <is>
          <t>Android, PR</t>
        </is>
      </c>
      <c r="O222"/>
    </row>
    <row r="223" ht="12.75" customHeight="1">
      <c r="A223" t="inlineStr">
        <is>
          <t xml:space="preserve">หลุดข้อมูล Snapdragon รุ่นใหม่ ชี้รุ่น Ultra อาจมีราคาสูงขึ้น
 </t>
        </is>
      </c>
      <c r="B223" t="inlineStr">
        <is>
          <t>Saktaphat Kordjan</t>
        </is>
      </c>
      <c r="C223" s="2">
        <v>46062</v>
      </c>
      <c r="D223" s="2">
        <v>46062</v>
      </c>
      <c r="E223"/>
      <c r="F223" s="3"/>
      <c r="G223"/>
      <c r="H223" t="inlineStr">
        <is>
          <t>Website</t>
        </is>
      </c>
      <c r="I223" t="inlineStr">
        <is>
          <t>งานประจำวัน</t>
        </is>
      </c>
      <c r="J223" t="inlineStr">
        <is>
          <t>Done</t>
        </is>
      </c>
      <c r="K223"/>
      <c r="L223" s="3"/>
      <c r="M223"/>
      <c r="N223" t="inlineStr">
        <is>
          <t>Android</t>
        </is>
      </c>
      <c r="O223"/>
    </row>
    <row r="224" ht="12.75" customHeight="1">
      <c r="A224" t="inlineStr">
        <is>
          <t>นิวยอร์กเตรียมออกกฎหมายควบคุมเนื้อหา AI</t>
        </is>
      </c>
      <c r="B224" t="inlineStr">
        <is>
          <t>Nattida Suriyodara</t>
        </is>
      </c>
      <c r="C224" s="2">
        <v>46062</v>
      </c>
      <c r="D224" s="2">
        <v>46062</v>
      </c>
      <c r="E224"/>
      <c r="F224" s="3"/>
      <c r="G224"/>
      <c r="H224" t="inlineStr">
        <is>
          <t>Shorts</t>
        </is>
      </c>
      <c r="I224" t="inlineStr">
        <is>
          <t>งานประจำวัน</t>
        </is>
      </c>
      <c r="J224" t="inlineStr">
        <is>
          <t>Done</t>
        </is>
      </c>
      <c r="K224"/>
      <c r="L224" s="3"/>
      <c r="M224"/>
      <c r="N224" t="inlineStr">
        <is>
          <t>AI</t>
        </is>
      </c>
      <c r="O224"/>
    </row>
    <row r="225" ht="12.75" customHeight="1">
      <c r="A225" t="inlineStr">
        <is>
          <t>Bilresa จาก IKEA</t>
        </is>
      </c>
      <c r="B225" t="inlineStr">
        <is>
          <t>Krongkwun  Rithiwong</t>
        </is>
      </c>
      <c r="C225" s="2">
        <v>46062</v>
      </c>
      <c r="D225" s="2">
        <v>46062</v>
      </c>
      <c r="E225" t="inlineStr">
        <is>
          <t>ปกติ</t>
        </is>
      </c>
      <c r="F225" s="3" t="str">
        <f>=HYPERLINK("https://www.iphonemod.net/3-reasons-why-you-shouldnt-sleep-on-these-6-3-smart-switches-theyre-the-understated-hit-of-ikeas-new-gadget-range.html", "https://www.iphonemod.net/3-reasons-why-you-shouldnt-sleep-on-these-6-3-smart-switches-theyre-the-understated-hit-of-ikeas-new-gadget-range.html")</f>
        <v>https://www.iphonemod.net/3-reasons-why-you-shouldnt-sleep-on-these-6-3-smart-switches-theyre-the-understated-hit-of-ikeas-new-gadget-range.html</v>
      </c>
      <c r="G225"/>
      <c r="H225" t="inlineStr">
        <is>
          <t>Website, Pic Posts / Album</t>
        </is>
      </c>
      <c r="I225" t="inlineStr">
        <is>
          <t>งานประจำวัน</t>
        </is>
      </c>
      <c r="J225" t="inlineStr">
        <is>
          <t>Done</t>
        </is>
      </c>
      <c r="K225"/>
      <c r="L225" s="3"/>
      <c r="M225" t="inlineStr">
        <is>
          <t>1</t>
        </is>
      </c>
      <c r="N225" t="inlineStr">
        <is>
          <t>Tech</t>
        </is>
      </c>
      <c r="O225"/>
    </row>
    <row r="226" ht="12.75" customHeight="1">
      <c r="A226" t="inlineStr">
        <is>
          <t>iPhone 17 Pro สีส้ม ไวรัลในจีน</t>
        </is>
      </c>
      <c r="B226" t="inlineStr">
        <is>
          <t>Krongkwun  Rithiwong</t>
        </is>
      </c>
      <c r="C226" s="2">
        <v>46062</v>
      </c>
      <c r="D226" s="2">
        <v>46062</v>
      </c>
      <c r="E226" t="inlineStr">
        <is>
          <t>ปกติ</t>
        </is>
      </c>
      <c r="F226" s="3"/>
      <c r="G226"/>
      <c r="H226" t="inlineStr">
        <is>
          <t>Shorts</t>
        </is>
      </c>
      <c r="I226" t="inlineStr">
        <is>
          <t>งานประจำวัน</t>
        </is>
      </c>
      <c r="J226" t="inlineStr">
        <is>
          <t>Done</t>
        </is>
      </c>
      <c r="K226"/>
      <c r="L226" s="3"/>
      <c r="M226" t="inlineStr">
        <is>
          <t>1</t>
        </is>
      </c>
      <c r="N226" t="inlineStr">
        <is>
          <t>Apple</t>
        </is>
      </c>
      <c r="O226"/>
    </row>
    <row r="227" ht="12.75" customHeight="1">
      <c r="A227" t="inlineStr">
        <is>
          <t>Apple เตรียมเปิดให้ใช้ ChatGPT, Claude และ Gemini ใน CarPlay
</t>
        </is>
      </c>
      <c r="B227" t="inlineStr">
        <is>
          <t>Thitirath Kinaret</t>
        </is>
      </c>
      <c r="C227" s="2">
        <v>46061</v>
      </c>
      <c r="D227" s="2">
        <v>46061</v>
      </c>
      <c r="E227"/>
      <c r="F227" s="3"/>
      <c r="G227"/>
      <c r="H227" t="inlineStr">
        <is>
          <t>Website, Pic Posts / Album</t>
        </is>
      </c>
      <c r="I227" t="inlineStr">
        <is>
          <t>งานประจำวัน</t>
        </is>
      </c>
      <c r="J227" t="inlineStr">
        <is>
          <t>Done</t>
        </is>
      </c>
      <c r="K227"/>
      <c r="L227" s="3"/>
      <c r="M227"/>
      <c r="N227" t="inlineStr">
        <is>
          <t>Apple</t>
        </is>
      </c>
      <c r="O227"/>
    </row>
    <row r="228" ht="12.75" customHeight="1">
      <c r="A228" t="inlineStr">
        <is>
          <t>Apple อัปเดตกฎ App Store แบนแอปแชตแบบสุ่มหรือไม่ระบุตัวตน
</t>
        </is>
      </c>
      <c r="B228" t="inlineStr">
        <is>
          <t>Thitirath Kinaret</t>
        </is>
      </c>
      <c r="C228" s="2">
        <v>46061</v>
      </c>
      <c r="D228" s="2">
        <v>46061</v>
      </c>
      <c r="E228"/>
      <c r="F228" s="3"/>
      <c r="G228"/>
      <c r="H228" t="inlineStr">
        <is>
          <t>Website</t>
        </is>
      </c>
      <c r="I228" t="inlineStr">
        <is>
          <t>งานประจำวัน</t>
        </is>
      </c>
      <c r="J228" t="inlineStr">
        <is>
          <t>Done</t>
        </is>
      </c>
      <c r="K228"/>
      <c r="L228" s="3"/>
      <c r="M228"/>
      <c r="N228" t="inlineStr">
        <is>
          <t>Apple</t>
        </is>
      </c>
      <c r="O228"/>
    </row>
    <row r="229" ht="12.75" customHeight="1">
      <c r="A229" t="inlineStr">
        <is>
          <t>Alexa ใหม่มีปัญหาเยอะจนผู้ใช้บางคนหันกลับไปใช้ Siri แทน
</t>
        </is>
      </c>
      <c r="B229" t="inlineStr">
        <is>
          <t>Thitirath Kinaret</t>
        </is>
      </c>
      <c r="C229" s="2">
        <v>46061</v>
      </c>
      <c r="D229" s="2">
        <v>46061</v>
      </c>
      <c r="E229"/>
      <c r="F229" s="3"/>
      <c r="G229"/>
      <c r="H229" t="inlineStr">
        <is>
          <t>Website</t>
        </is>
      </c>
      <c r="I229" t="inlineStr">
        <is>
          <t>งานประจำวัน</t>
        </is>
      </c>
      <c r="J229" t="inlineStr">
        <is>
          <t>Done</t>
        </is>
      </c>
      <c r="K229"/>
      <c r="L229" s="3"/>
      <c r="M229"/>
      <c r="N229" t="inlineStr">
        <is>
          <t>Apple</t>
        </is>
      </c>
      <c r="O229"/>
    </row>
    <row r="230" ht="12.75" customHeight="1">
      <c r="A230" t="inlineStr">
        <is>
          <t>Apple กำลังทดสอบกล้องรูรับแสงแปรผันของ iPhone 18 Pro
</t>
        </is>
      </c>
      <c r="B230" t="inlineStr">
        <is>
          <t>Thitirath Kinaret</t>
        </is>
      </c>
      <c r="C230" s="2">
        <v>46061</v>
      </c>
      <c r="D230" s="2">
        <v>46061</v>
      </c>
      <c r="E230"/>
      <c r="F230" s="3"/>
      <c r="G230"/>
      <c r="H230" t="inlineStr">
        <is>
          <t>Website</t>
        </is>
      </c>
      <c r="I230" t="inlineStr">
        <is>
          <t>งานประจำวัน</t>
        </is>
      </c>
      <c r="J230" t="inlineStr">
        <is>
          <t>Done</t>
        </is>
      </c>
      <c r="K230"/>
      <c r="L230" s="3"/>
      <c r="M230"/>
      <c r="N230" t="inlineStr">
        <is>
          <t>Apple</t>
        </is>
      </c>
      <c r="O230"/>
    </row>
    <row r="231" ht="12.75" customHeight="1">
      <c r="A231" t="inlineStr">
        <is>
          <t>เผยภาพเรนเดอร์ 360 องศาของ Galaxy S26 Ultra</t>
        </is>
      </c>
      <c r="B231" t="inlineStr">
        <is>
          <t>Saktaphat Kordjan</t>
        </is>
      </c>
      <c r="C231" s="2">
        <v>46060</v>
      </c>
      <c r="D231" s="2">
        <v>46060</v>
      </c>
      <c r="E231"/>
      <c r="F231" s="3"/>
      <c r="G231"/>
      <c r="H231" t="inlineStr">
        <is>
          <t>Website</t>
        </is>
      </c>
      <c r="I231" t="inlineStr">
        <is>
          <t>งานประจำวัน</t>
        </is>
      </c>
      <c r="J231" t="inlineStr">
        <is>
          <t>Done</t>
        </is>
      </c>
      <c r="K231"/>
      <c r="L231" s="3"/>
      <c r="M231"/>
      <c r="N231" t="inlineStr">
        <is>
          <t>Android</t>
        </is>
      </c>
      <c r="O231"/>
    </row>
    <row r="232" ht="12.75" customHeight="1">
      <c r="A232" t="inlineStr">
        <is>
          <t>watchOS 11.6.2 แก้ปัญหาเซลลูลาร์</t>
        </is>
      </c>
      <c r="B232" t="inlineStr">
        <is>
          <t>Nattida Suriyodara</t>
        </is>
      </c>
      <c r="C232" s="2">
        <v>46059</v>
      </c>
      <c r="D232" s="2">
        <v>46059</v>
      </c>
      <c r="E232"/>
      <c r="F232" s="3"/>
      <c r="G232"/>
      <c r="H232" t="inlineStr">
        <is>
          <t>Website</t>
        </is>
      </c>
      <c r="I232" t="inlineStr">
        <is>
          <t>งานประจำวัน</t>
        </is>
      </c>
      <c r="J232" t="inlineStr">
        <is>
          <t>Done</t>
        </is>
      </c>
      <c r="K232"/>
      <c r="L232" s="3"/>
      <c r="M232" t="inlineStr">
        <is>
          <t>1</t>
        </is>
      </c>
      <c r="N232" t="inlineStr">
        <is>
          <t>Apple</t>
        </is>
      </c>
      <c r="O232"/>
    </row>
    <row r="233" ht="12.75" customHeight="1">
      <c r="A233" t="inlineStr">
        <is>
          <t xml:space="preserve">Apple ลดขนาดโปรเจกต์ AI Health Coach </t>
        </is>
      </c>
      <c r="B233" t="inlineStr">
        <is>
          <t>Nattida Suriyodara</t>
        </is>
      </c>
      <c r="C233" s="2">
        <v>46059</v>
      </c>
      <c r="D233" s="2">
        <v>46059</v>
      </c>
      <c r="E233"/>
      <c r="F233" s="3"/>
      <c r="G233"/>
      <c r="H233" t="inlineStr">
        <is>
          <t>Website</t>
        </is>
      </c>
      <c r="I233" t="inlineStr">
        <is>
          <t>งานประจำวัน</t>
        </is>
      </c>
      <c r="J233" t="inlineStr">
        <is>
          <t>Done</t>
        </is>
      </c>
      <c r="K233"/>
      <c r="L233" s="3"/>
      <c r="M233" t="inlineStr">
        <is>
          <t>1</t>
        </is>
      </c>
      <c r="N233" t="inlineStr">
        <is>
          <t>Apple, AI</t>
        </is>
      </c>
      <c r="O233"/>
    </row>
    <row r="234" ht="12.75" customHeight="1">
      <c r="A234" t="inlineStr">
        <is>
          <t xml:space="preserve">Apple Watch ดูแลหัวใจ </t>
        </is>
      </c>
      <c r="B234" t="inlineStr">
        <is>
          <t>Nattida Suriyodara</t>
        </is>
      </c>
      <c r="C234" s="2">
        <v>46059</v>
      </c>
      <c r="D234" s="2">
        <v>46059</v>
      </c>
      <c r="E234"/>
      <c r="F234" s="3"/>
      <c r="G234"/>
      <c r="H234" t="inlineStr">
        <is>
          <t>YouTube</t>
        </is>
      </c>
      <c r="I234" t="inlineStr">
        <is>
          <t>เสนอไอเดีย</t>
        </is>
      </c>
      <c r="J234" t="inlineStr">
        <is>
          <t>Done</t>
        </is>
      </c>
      <c r="K234"/>
      <c r="L234" s="3"/>
      <c r="M234"/>
      <c r="N234" t="inlineStr">
        <is>
          <t>Apple</t>
        </is>
      </c>
      <c r="O234"/>
    </row>
    <row r="235" ht="12.75" customHeight="1">
      <c r="A235" t="inlineStr">
        <is>
          <t>Generate ภาพคู่รัก</t>
        </is>
      </c>
      <c r="B235" t="inlineStr">
        <is>
          <t>Nattida Suriyodara</t>
        </is>
      </c>
      <c r="C235" s="2">
        <v>46059</v>
      </c>
      <c r="D235" s="2">
        <v>46059</v>
      </c>
      <c r="E235"/>
      <c r="F235" s="3"/>
      <c r="G235"/>
      <c r="H235" t="inlineStr">
        <is>
          <t>Pic Posts / Album, Website</t>
        </is>
      </c>
      <c r="I235" t="inlineStr">
        <is>
          <t>งานประจำวัน</t>
        </is>
      </c>
      <c r="J235" t="inlineStr">
        <is>
          <t>Done</t>
        </is>
      </c>
      <c r="K235"/>
      <c r="L235" s="3"/>
      <c r="M235" t="inlineStr">
        <is>
          <t>1</t>
        </is>
      </c>
      <c r="N235" t="inlineStr">
        <is>
          <t>AI</t>
        </is>
      </c>
      <c r="O235"/>
    </row>
    <row r="236" ht="12.75" customHeight="1">
      <c r="A236" t="inlineStr">
        <is>
          <t>iFixit แกะ AirTag 2 เผยให้เห็นลำโพงใหม่ที่ดังขึ้น 50% และชิป Ultra Wideband 2</t>
        </is>
      </c>
      <c r="B236" t="inlineStr">
        <is>
          <t>Thitirath Kinaret</t>
        </is>
      </c>
      <c r="C236" s="2">
        <v>46059</v>
      </c>
      <c r="D236" s="2">
        <v>46059</v>
      </c>
      <c r="E236"/>
      <c r="F236" s="3"/>
      <c r="G236"/>
      <c r="H236" t="inlineStr">
        <is>
          <t>Website</t>
        </is>
      </c>
      <c r="I236" t="inlineStr">
        <is>
          <t>งานประจำวัน</t>
        </is>
      </c>
      <c r="J236" t="inlineStr">
        <is>
          <t>Done</t>
        </is>
      </c>
      <c r="K236"/>
      <c r="L236" s="3"/>
      <c r="M236" t="inlineStr">
        <is>
          <t>1</t>
        </is>
      </c>
      <c r="N236" t="inlineStr">
        <is>
          <t>Apple</t>
        </is>
      </c>
      <c r="O236"/>
    </row>
    <row r="237" ht="12.75" customHeight="1">
      <c r="A237" t="inlineStr">
        <is>
          <t>Tim Cook เผย มีแผนเฉลิมฉลอง Apple ครบรอบ 50 ปี ในวันที่ 1 เม.ย. 2026</t>
        </is>
      </c>
      <c r="B237" t="inlineStr">
        <is>
          <t>Thitirath Kinaret</t>
        </is>
      </c>
      <c r="C237" s="2">
        <v>46059</v>
      </c>
      <c r="D237" s="2">
        <v>46059</v>
      </c>
      <c r="E237"/>
      <c r="F237" s="3"/>
      <c r="G237"/>
      <c r="H237" t="inlineStr">
        <is>
          <t>Website</t>
        </is>
      </c>
      <c r="I237" t="inlineStr">
        <is>
          <t>งานประจำวัน</t>
        </is>
      </c>
      <c r="J237" t="inlineStr">
        <is>
          <t>Done</t>
        </is>
      </c>
      <c r="K237"/>
      <c r="L237" s="3"/>
      <c r="M237" t="inlineStr">
        <is>
          <t>1</t>
        </is>
      </c>
      <c r="N237" t="inlineStr">
        <is>
          <t>Apple</t>
        </is>
      </c>
      <c r="O237"/>
    </row>
    <row r="238" ht="12.75" customHeight="1">
      <c r="A238" t="inlineStr">
        <is>
          <t>iPhone 17e อาจเปิดตัว 19 ก.พ. 2026 นี้ มาพร้อมชิป A19 และรองรับ MagSafe
</t>
        </is>
      </c>
      <c r="B238" t="inlineStr">
        <is>
          <t>Thitirath Kinaret</t>
        </is>
      </c>
      <c r="C238" s="2">
        <v>46059</v>
      </c>
      <c r="D238" s="2">
        <v>46059</v>
      </c>
      <c r="E238"/>
      <c r="F238" s="3"/>
      <c r="G238"/>
      <c r="H238" t="inlineStr">
        <is>
          <t>Website, Pic Posts / Album</t>
        </is>
      </c>
      <c r="I238" t="inlineStr">
        <is>
          <t>งานประจำวัน</t>
        </is>
      </c>
      <c r="J238" t="inlineStr">
        <is>
          <t>Done</t>
        </is>
      </c>
      <c r="K238"/>
      <c r="L238" s="3"/>
      <c r="M238" t="inlineStr">
        <is>
          <t>1</t>
        </is>
      </c>
      <c r="N238" t="inlineStr">
        <is>
          <t>Apple</t>
        </is>
      </c>
      <c r="O238"/>
    </row>
    <row r="239" ht="12.75" customHeight="1">
      <c r="A239" t="inlineStr">
        <is>
          <t>Gizmo on TikTok</t>
        </is>
      </c>
      <c r="B239" t="inlineStr">
        <is>
          <t>Nattida Suriyodara</t>
        </is>
      </c>
      <c r="C239" s="2">
        <v>46059</v>
      </c>
      <c r="D239" s="2">
        <v>46059</v>
      </c>
      <c r="E239"/>
      <c r="F239" s="3"/>
      <c r="G239"/>
      <c r="H239" t="inlineStr">
        <is>
          <t>Website</t>
        </is>
      </c>
      <c r="I239" t="inlineStr">
        <is>
          <t>งานประจำวัน</t>
        </is>
      </c>
      <c r="J239" t="inlineStr">
        <is>
          <t>Done</t>
        </is>
      </c>
      <c r="K239"/>
      <c r="L239" s="3"/>
      <c r="M239" t="inlineStr">
        <is>
          <t>1</t>
        </is>
      </c>
      <c r="N239" t="inlineStr">
        <is>
          <t>AI</t>
        </is>
      </c>
      <c r="O239"/>
    </row>
    <row r="240" ht="12.75" customHeight="1">
      <c r="A240" t="inlineStr">
        <is>
          <t>วิธีตั้งค่าคีย์บอร์ด iPad ให้ใช้แป้นพิมพ์บนหน้าจอ และคีย์บอร์ดเสริมพร้อมกันได้</t>
        </is>
      </c>
      <c r="B240" t="inlineStr">
        <is>
          <t>Thitirath Kinaret</t>
        </is>
      </c>
      <c r="C240" s="2">
        <v>46059</v>
      </c>
      <c r="D240" s="2">
        <v>46059</v>
      </c>
      <c r="E240"/>
      <c r="F240" s="3"/>
      <c r="G240"/>
      <c r="H240" t="inlineStr">
        <is>
          <t>YouTube</t>
        </is>
      </c>
      <c r="I240" t="inlineStr">
        <is>
          <t>งานประจำวัน</t>
        </is>
      </c>
      <c r="J240" t="inlineStr">
        <is>
          <t>Done</t>
        </is>
      </c>
      <c r="K240"/>
      <c r="L240" s="3"/>
      <c r="M240" t="inlineStr">
        <is>
          <t>1</t>
        </is>
      </c>
      <c r="N240" t="inlineStr">
        <is>
          <t>Apple</t>
        </is>
      </c>
      <c r="O240"/>
    </row>
    <row r="241" ht="12.75" customHeight="1">
      <c r="A241" t="inlineStr">
        <is>
          <t xml:space="preserve">รวมฟีเจอร์หัวใจ Apple Watch </t>
        </is>
      </c>
      <c r="B241" t="inlineStr">
        <is>
          <t>Nattida Suriyodara</t>
        </is>
      </c>
      <c r="C241" s="2">
        <v>46059</v>
      </c>
      <c r="D241" s="2">
        <v>46059</v>
      </c>
      <c r="E241"/>
      <c r="F241" s="3"/>
      <c r="G241"/>
      <c r="H241" t="inlineStr">
        <is>
          <t>Shorts</t>
        </is>
      </c>
      <c r="I241" t="inlineStr">
        <is>
          <t>เสนอไอเดีย</t>
        </is>
      </c>
      <c r="J241" t="inlineStr">
        <is>
          <t>Done</t>
        </is>
      </c>
      <c r="K241"/>
      <c r="L241" s="3"/>
      <c r="M241"/>
      <c r="N241" t="inlineStr">
        <is>
          <t>Apple</t>
        </is>
      </c>
      <c r="O241"/>
    </row>
    <row r="242" ht="12.75" customHeight="1">
      <c r="A242" t="inlineStr">
        <is>
          <t xml:space="preserve">Honor X80 อาจมาพร้อมแบตเตอรี่ 10,000mAh </t>
        </is>
      </c>
      <c r="B242" t="inlineStr">
        <is>
          <t>Saktaphat Kordjan</t>
        </is>
      </c>
      <c r="C242" s="2">
        <v>46059</v>
      </c>
      <c r="D242" s="2">
        <v>46059</v>
      </c>
      <c r="E242"/>
      <c r="F242" s="3"/>
      <c r="G242"/>
      <c r="H242" t="inlineStr">
        <is>
          <t>Website</t>
        </is>
      </c>
      <c r="I242" t="inlineStr">
        <is>
          <t>งานประจำวัน</t>
        </is>
      </c>
      <c r="J242" t="inlineStr">
        <is>
          <t>Done</t>
        </is>
      </c>
      <c r="K242"/>
      <c r="L242" s="3"/>
      <c r="M242"/>
      <c r="N242" t="inlineStr">
        <is>
          <t>Android</t>
        </is>
      </c>
      <c r="O242"/>
    </row>
    <row r="243" ht="12.75" customHeight="1">
      <c r="A243" t="inlineStr">
        <is>
          <t>REDMAGIC X Wawa</t>
        </is>
      </c>
      <c r="B243" t="inlineStr">
        <is>
          <t>Saktaphat Kordjan</t>
        </is>
      </c>
      <c r="C243" s="2">
        <v>46059</v>
      </c>
      <c r="D243" s="2">
        <v>46059</v>
      </c>
      <c r="E243"/>
      <c r="F243" s="3"/>
      <c r="G243"/>
      <c r="H243" t="inlineStr">
        <is>
          <t>Pic Posts / Album</t>
        </is>
      </c>
      <c r="I243" t="inlineStr">
        <is>
          <t>เสนอไอเดีย</t>
        </is>
      </c>
      <c r="J243" t="inlineStr">
        <is>
          <t>Done</t>
        </is>
      </c>
      <c r="K243"/>
      <c r="L243" s="3"/>
      <c r="M243"/>
      <c r="N243" t="inlineStr">
        <is>
          <t>Android</t>
        </is>
      </c>
      <c r="O243"/>
    </row>
    <row r="244" ht="12.75" customHeight="1">
      <c r="A244" t="inlineStr">
        <is>
          <t xml:space="preserve">คาดหวังอะไรกับ Galaxy S26 Series อีพี 3 </t>
        </is>
      </c>
      <c r="B244" t="inlineStr">
        <is>
          <t>Saktaphat Kordjan</t>
        </is>
      </c>
      <c r="C244" s="2">
        <v>46059</v>
      </c>
      <c r="D244" s="2">
        <v>46059</v>
      </c>
      <c r="E244"/>
      <c r="F244" s="3"/>
      <c r="G244"/>
      <c r="H244" t="inlineStr">
        <is>
          <t>Shorts</t>
        </is>
      </c>
      <c r="I244" t="inlineStr">
        <is>
          <t>งานประจำวัน</t>
        </is>
      </c>
      <c r="J244" t="inlineStr">
        <is>
          <t>Done</t>
        </is>
      </c>
      <c r="K244"/>
      <c r="L244" s="3"/>
      <c r="M244"/>
      <c r="N244" t="inlineStr">
        <is>
          <t>Android</t>
        </is>
      </c>
      <c r="O244"/>
    </row>
    <row r="245" ht="12.75" customHeight="1">
      <c r="A245" t="inlineStr">
        <is>
          <t>กูเกิลยืนยััน ควิกแชร์จะส่งไฟล์ให้ไอโฟนได้</t>
        </is>
      </c>
      <c r="B245" t="inlineStr">
        <is>
          <t>Saktaphat Kordjan</t>
        </is>
      </c>
      <c r="C245" s="2">
        <v>46059</v>
      </c>
      <c r="D245" s="2">
        <v>46059</v>
      </c>
      <c r="E245"/>
      <c r="F245" s="3"/>
      <c r="G245"/>
      <c r="H245" t="inlineStr">
        <is>
          <t>Pic Posts / Album, Website</t>
        </is>
      </c>
      <c r="I245" t="inlineStr">
        <is>
          <t>งานประจำวัน</t>
        </is>
      </c>
      <c r="J245" t="inlineStr">
        <is>
          <t>Done</t>
        </is>
      </c>
      <c r="K245"/>
      <c r="L245" s="3"/>
      <c r="M245"/>
      <c r="N245" t="inlineStr">
        <is>
          <t>Tech</t>
        </is>
      </c>
      <c r="O245"/>
    </row>
    <row r="246" ht="12.75" customHeight="1">
      <c r="A246" t="inlineStr">
        <is>
          <t>animate กลับมาแล้ว</t>
        </is>
      </c>
      <c r="B246" t="inlineStr">
        <is>
          <t>Krongkwun  Rithiwong</t>
        </is>
      </c>
      <c r="C246" s="2">
        <v>46059</v>
      </c>
      <c r="D246" s="2">
        <v>46059</v>
      </c>
      <c r="E246" t="inlineStr">
        <is>
          <t>ปกติ</t>
        </is>
      </c>
      <c r="F246" s="3" t="str">
        <f>=HYPERLINK("https://www.iphonemod.net/after-backlash-adobe-cancels-adobe-animate-shutdown-and-puts-app-on-maintenance-mode.html", "https://www.iphonemod.net/after-backlash-adobe-cancels-adobe-animate-shutdown-and-puts-app-on-maintenance-mode.html")</f>
        <v>https://www.iphonemod.net/after-backlash-adobe-cancels-adobe-animate-shutdown-and-puts-app-on-maintenance-mode.html</v>
      </c>
      <c r="G246"/>
      <c r="H246" t="inlineStr">
        <is>
          <t>Website, Pic Posts / Album</t>
        </is>
      </c>
      <c r="I246"/>
      <c r="J246" t="inlineStr">
        <is>
          <t>Done</t>
        </is>
      </c>
      <c r="K246"/>
      <c r="L246" s="3"/>
      <c r="M246" t="inlineStr">
        <is>
          <t>1</t>
        </is>
      </c>
      <c r="N246" t="inlineStr">
        <is>
          <t>Tech</t>
        </is>
      </c>
      <c r="O246"/>
    </row>
    <row r="247" ht="12.75" customHeight="1">
      <c r="A247" t="inlineStr">
        <is>
          <t>สรุปเลือกตั้ง ที่ควรรู้</t>
        </is>
      </c>
      <c r="B247" t="inlineStr">
        <is>
          <t>Krongkwun  Rithiwong</t>
        </is>
      </c>
      <c r="C247" s="2">
        <v>46059</v>
      </c>
      <c r="D247" s="2">
        <v>46059</v>
      </c>
      <c r="E247" t="inlineStr">
        <is>
          <t>ปกติ</t>
        </is>
      </c>
      <c r="F247" s="3"/>
      <c r="G247"/>
      <c r="H247" t="inlineStr">
        <is>
          <t>Pic Posts / Album</t>
        </is>
      </c>
      <c r="I247" t="inlineStr">
        <is>
          <t>งานประจำวัน</t>
        </is>
      </c>
      <c r="J247" t="inlineStr">
        <is>
          <t>Done</t>
        </is>
      </c>
      <c r="K247"/>
      <c r="L247" s="3" t="str">
        <f>=HYPERLINK("https://www.facebook.com/photo/?fbid=1325053576320695&amp;set=a.594262216066505&amp;locale=th_TH", "https://www.facebook.com/photo/?fbid=1325053576320695&amp;set=a.594262216066505&amp;locale=th_TH")</f>
        <v>https://www.facebook.com/photo/?fbid=1325053576320695&amp;set=a.594262216066505&amp;locale=th_TH</v>
      </c>
      <c r="M247" t="inlineStr">
        <is>
          <t>1</t>
        </is>
      </c>
      <c r="N247" t="inlineStr">
        <is>
          <t>ทั่วไป</t>
        </is>
      </c>
      <c r="O247"/>
    </row>
    <row r="248" ht="12.75" customHeight="1">
      <c r="A248" t="inlineStr">
        <is>
          <t xml:space="preserve">Facebook ครบรอบ 22 ปี </t>
        </is>
      </c>
      <c r="B248" t="inlineStr">
        <is>
          <t>Nattida Suriyodara</t>
        </is>
      </c>
      <c r="C248" s="2">
        <v>46058</v>
      </c>
      <c r="D248" s="2">
        <v>46058</v>
      </c>
      <c r="E248"/>
      <c r="F248" s="3"/>
      <c r="G248"/>
      <c r="H248" t="inlineStr">
        <is>
          <t>Website</t>
        </is>
      </c>
      <c r="I248" t="inlineStr">
        <is>
          <t>งานประจำวัน</t>
        </is>
      </c>
      <c r="J248" t="inlineStr">
        <is>
          <t>Done</t>
        </is>
      </c>
      <c r="K248"/>
      <c r="L248" s="3"/>
      <c r="M248" t="inlineStr">
        <is>
          <t>1</t>
        </is>
      </c>
      <c r="N248" t="inlineStr">
        <is>
          <t>ทั่วไป</t>
        </is>
      </c>
      <c r="O248"/>
    </row>
    <row r="249" ht="12.75" customHeight="1">
      <c r="A249" t="inlineStr">
        <is>
          <t xml:space="preserve">ตั้งเวลาการเดินทางไปเลือกตั้ง Google Maps </t>
        </is>
      </c>
      <c r="B249" t="inlineStr">
        <is>
          <t>Nattida Suriyodara</t>
        </is>
      </c>
      <c r="C249" s="2">
        <v>46058</v>
      </c>
      <c r="D249" s="2">
        <v>46058</v>
      </c>
      <c r="E249"/>
      <c r="F249" s="3"/>
      <c r="G249"/>
      <c r="H249" t="inlineStr">
        <is>
          <t>YouTube</t>
        </is>
      </c>
      <c r="I249" t="inlineStr">
        <is>
          <t>งานประจำวัน</t>
        </is>
      </c>
      <c r="J249" t="inlineStr">
        <is>
          <t>Done</t>
        </is>
      </c>
      <c r="K249"/>
      <c r="L249" s="3"/>
      <c r="M249" t="inlineStr">
        <is>
          <t>1</t>
        </is>
      </c>
      <c r="N249" t="inlineStr">
        <is>
          <t>ทั่วไป</t>
        </is>
      </c>
      <c r="O249"/>
    </row>
    <row r="250" ht="12.75" customHeight="1">
      <c r="A250" t="inlineStr">
        <is>
          <t>Amazon เตรียมทดสอบเ AI สำหรับผลิตหนังและซีรีส์ในเดือนมีนาคม</t>
        </is>
      </c>
      <c r="B250" t="inlineStr">
        <is>
          <t>Nattida Suriyodara</t>
        </is>
      </c>
      <c r="C250" s="2">
        <v>46058</v>
      </c>
      <c r="D250" s="2">
        <v>46058</v>
      </c>
      <c r="E250"/>
      <c r="F250" s="3"/>
      <c r="G250"/>
      <c r="H250" t="inlineStr">
        <is>
          <t>Website</t>
        </is>
      </c>
      <c r="I250" t="inlineStr">
        <is>
          <t>งานประจำวัน</t>
        </is>
      </c>
      <c r="J250" t="inlineStr">
        <is>
          <t>Done</t>
        </is>
      </c>
      <c r="K250"/>
      <c r="L250" s="3"/>
      <c r="M250" t="inlineStr">
        <is>
          <t>1</t>
        </is>
      </c>
      <c r="N250" t="inlineStr">
        <is>
          <t>AI</t>
        </is>
      </c>
      <c r="O250"/>
    </row>
    <row r="251" ht="12.75" customHeight="1">
      <c r="A251" t="inlineStr">
        <is>
          <t>Apple watch รุ่นไหนรองรับ Hypertension</t>
        </is>
      </c>
      <c r="B251" t="inlineStr">
        <is>
          <t>Nattida Suriyodara</t>
        </is>
      </c>
      <c r="C251" s="2">
        <v>46058</v>
      </c>
      <c r="D251" s="2">
        <v>46058</v>
      </c>
      <c r="E251"/>
      <c r="F251" s="3"/>
      <c r="G251"/>
      <c r="H251" t="inlineStr">
        <is>
          <t>Shorts</t>
        </is>
      </c>
      <c r="I251" t="inlineStr">
        <is>
          <t>งานประจำวัน</t>
        </is>
      </c>
      <c r="J251" t="inlineStr">
        <is>
          <t>Done</t>
        </is>
      </c>
      <c r="K251"/>
      <c r="L251" s="3"/>
      <c r="M251" t="inlineStr">
        <is>
          <t>1</t>
        </is>
      </c>
      <c r="N251" t="inlineStr">
        <is>
          <t>Apple</t>
        </is>
      </c>
      <c r="O251"/>
    </row>
    <row r="252" ht="12.75" customHeight="1">
      <c r="A252" t="inlineStr">
        <is>
          <t>iPhone 17 Pro Max แบตอึดที่สุด จากการทดสอบสมาร์ตโฟน 35 รุ่น
</t>
        </is>
      </c>
      <c r="B252" t="inlineStr">
        <is>
          <t>Thitirath Kinaret</t>
        </is>
      </c>
      <c r="C252" s="2">
        <v>46058</v>
      </c>
      <c r="D252" s="2">
        <v>46058</v>
      </c>
      <c r="E252"/>
      <c r="F252" s="3"/>
      <c r="G252"/>
      <c r="H252" t="inlineStr">
        <is>
          <t>Pic Posts / Album, Website</t>
        </is>
      </c>
      <c r="I252" t="inlineStr">
        <is>
          <t>งานประจำวัน</t>
        </is>
      </c>
      <c r="J252" t="inlineStr">
        <is>
          <t>Done</t>
        </is>
      </c>
      <c r="K252"/>
      <c r="L252" s="3"/>
      <c r="M252"/>
      <c r="N252" t="inlineStr">
        <is>
          <t>Apple</t>
        </is>
      </c>
      <c r="O252"/>
    </row>
    <row r="253" ht="12.75" customHeight="1">
      <c r="A253" t="inlineStr">
        <is>
          <t>ยอดขาย iPad พุ่ง 16.5% ในไตรมาส 4 ปี 2025
</t>
        </is>
      </c>
      <c r="B253" t="inlineStr">
        <is>
          <t>Thitirath Kinaret</t>
        </is>
      </c>
      <c r="C253" s="2">
        <v>46058</v>
      </c>
      <c r="D253" s="2">
        <v>46058</v>
      </c>
      <c r="E253"/>
      <c r="F253" s="3"/>
      <c r="G253"/>
      <c r="H253" t="inlineStr">
        <is>
          <t>Pic Posts / Album, Website</t>
        </is>
      </c>
      <c r="I253" t="inlineStr">
        <is>
          <t>งานประจำวัน</t>
        </is>
      </c>
      <c r="J253" t="inlineStr">
        <is>
          <t>Done</t>
        </is>
      </c>
      <c r="K253"/>
      <c r="L253" s="3"/>
      <c r="M253"/>
      <c r="N253" t="inlineStr">
        <is>
          <t>Apple</t>
        </is>
      </c>
      <c r="O253"/>
    </row>
    <row r="254" ht="12.75" customHeight="1">
      <c r="A254" t="inlineStr">
        <is>
          <t>YouTube บล็อกฟีเจอร์เล่นเพลงพื้นหลัง บนเบราว์เซอร์ Third-party อยากใช้ต้องสมัคร Premium เท่านั้น!
</t>
        </is>
      </c>
      <c r="B254" t="inlineStr">
        <is>
          <t>Thitirath Kinaret</t>
        </is>
      </c>
      <c r="C254" s="2">
        <v>46058</v>
      </c>
      <c r="D254" s="2">
        <v>46058</v>
      </c>
      <c r="E254"/>
      <c r="F254" s="3"/>
      <c r="G254"/>
      <c r="H254" t="inlineStr">
        <is>
          <t>Website, Pic Posts / Album</t>
        </is>
      </c>
      <c r="I254" t="inlineStr">
        <is>
          <t>งานประจำวัน</t>
        </is>
      </c>
      <c r="J254" t="inlineStr">
        <is>
          <t>Done</t>
        </is>
      </c>
      <c r="K254"/>
      <c r="L254" s="3"/>
      <c r="M254"/>
      <c r="N254" t="inlineStr">
        <is>
          <t>Apple, Android, Tech</t>
        </is>
      </c>
      <c r="O254"/>
    </row>
    <row r="255" ht="12.75" customHeight="1">
      <c r="A255" t="inlineStr">
        <is>
          <t>พบเบาะแสชิป M5 Max, M5 Ultra ใน iOS 26.3 RC
</t>
        </is>
      </c>
      <c r="B255" t="inlineStr">
        <is>
          <t>Thitirath Kinaret</t>
        </is>
      </c>
      <c r="C255" s="2">
        <v>46058</v>
      </c>
      <c r="D255" s="2">
        <v>46058</v>
      </c>
      <c r="E255"/>
      <c r="F255" s="3"/>
      <c r="G255"/>
      <c r="H255" t="inlineStr">
        <is>
          <t>Website, Pic Posts / Album</t>
        </is>
      </c>
      <c r="I255" t="inlineStr">
        <is>
          <t>งานประจำวัน</t>
        </is>
      </c>
      <c r="J255" t="inlineStr">
        <is>
          <t>Done</t>
        </is>
      </c>
      <c r="K255"/>
      <c r="L255" s="3"/>
      <c r="M255"/>
      <c r="N255" t="inlineStr">
        <is>
          <t>Apple</t>
        </is>
      </c>
      <c r="O255"/>
    </row>
    <row r="256" ht="12.75" customHeight="1">
      <c r="A256" t="inlineStr">
        <is>
          <t>Apple ปล่อย iOS 26.3 RC (Release Candidate) ให้ทดสอบ
</t>
        </is>
      </c>
      <c r="B256" t="inlineStr">
        <is>
          <t>Thitirath Kinaret</t>
        </is>
      </c>
      <c r="C256" s="2">
        <v>46058</v>
      </c>
      <c r="D256" s="2">
        <v>46058</v>
      </c>
      <c r="E256"/>
      <c r="F256" s="3"/>
      <c r="G256"/>
      <c r="H256" t="inlineStr">
        <is>
          <t>Website</t>
        </is>
      </c>
      <c r="I256" t="inlineStr">
        <is>
          <t>งานประจำวัน</t>
        </is>
      </c>
      <c r="J256" t="inlineStr">
        <is>
          <t>Done</t>
        </is>
      </c>
      <c r="K256"/>
      <c r="L256" s="3"/>
      <c r="M256"/>
      <c r="N256" t="inlineStr">
        <is>
          <t>Apple</t>
        </is>
      </c>
      <c r="O256"/>
    </row>
    <row r="257" ht="12.75" customHeight="1">
      <c r="A257" t="inlineStr">
        <is>
          <t>ผู้ใช้เจอปัญหา iOS 26.2.1 แอปค้าง เครื่องค้าง แบตหมดไว
</t>
        </is>
      </c>
      <c r="B257" t="inlineStr">
        <is>
          <t>Thitirath Kinaret</t>
        </is>
      </c>
      <c r="C257" s="2">
        <v>46058</v>
      </c>
      <c r="D257" s="2">
        <v>46058</v>
      </c>
      <c r="E257"/>
      <c r="F257" s="3"/>
      <c r="G257"/>
      <c r="H257" t="inlineStr">
        <is>
          <t>Website, Pic Posts / Album</t>
        </is>
      </c>
      <c r="I257" t="inlineStr">
        <is>
          <t>งานประจำวัน</t>
        </is>
      </c>
      <c r="J257" t="inlineStr">
        <is>
          <t>Done</t>
        </is>
      </c>
      <c r="K257"/>
      <c r="L257" s="3"/>
      <c r="M257"/>
      <c r="N257" t="inlineStr">
        <is>
          <t>Apple</t>
        </is>
      </c>
      <c r="O257"/>
    </row>
    <row r="258" ht="12.75" customHeight="1">
      <c r="A258" t="inlineStr">
        <is>
          <t>วิธีตั้งค่าลบกล้องออกจากหน้าจอล็อก iPhone (สำหรับ iOS 26)
</t>
        </is>
      </c>
      <c r="B258" t="inlineStr">
        <is>
          <t>Thitirath Kinaret</t>
        </is>
      </c>
      <c r="C258" s="2">
        <v>46058</v>
      </c>
      <c r="D258" s="2">
        <v>46057</v>
      </c>
      <c r="E258"/>
      <c r="F258" s="3"/>
      <c r="G258"/>
      <c r="H258" t="inlineStr">
        <is>
          <t>YouTube</t>
        </is>
      </c>
      <c r="I258" t="inlineStr">
        <is>
          <t>งานประจำวัน</t>
        </is>
      </c>
      <c r="J258" t="inlineStr">
        <is>
          <t>Done</t>
        </is>
      </c>
      <c r="K258"/>
      <c r="L258" s="3"/>
      <c r="M258"/>
      <c r="N258" t="inlineStr">
        <is>
          <t>Apple</t>
        </is>
      </c>
      <c r="O258"/>
    </row>
    <row r="259" ht="12.75" customHeight="1">
      <c r="A259" t="inlineStr">
        <is>
          <t xml:space="preserve">สาย Apple Watch BLACK UNITY 2026 อย่างสวย! </t>
        </is>
      </c>
      <c r="B259" t="inlineStr">
        <is>
          <t>Thitirath Kinaret</t>
        </is>
      </c>
      <c r="C259" s="2">
        <v>46058</v>
      </c>
      <c r="D259" s="2">
        <v>46058</v>
      </c>
      <c r="E259"/>
      <c r="F259" s="3"/>
      <c r="G259"/>
      <c r="H259" t="inlineStr">
        <is>
          <t>Shorts</t>
        </is>
      </c>
      <c r="I259" t="inlineStr">
        <is>
          <t>งานประจำวัน</t>
        </is>
      </c>
      <c r="J259" t="inlineStr">
        <is>
          <t>Done</t>
        </is>
      </c>
      <c r="K259"/>
      <c r="L259" s="3"/>
      <c r="M259"/>
      <c r="N259" t="inlineStr">
        <is>
          <t>Apple</t>
        </is>
      </c>
      <c r="O259"/>
    </row>
    <row r="260" ht="12.75" customHeight="1">
      <c r="A260" t="inlineStr">
        <is>
          <t>vivo V70 Elite และ V70 เตรียมเปิดตัวทางการในอินเดีย</t>
        </is>
      </c>
      <c r="B260" t="inlineStr">
        <is>
          <t>Saktaphat Kordjan</t>
        </is>
      </c>
      <c r="C260" s="2">
        <v>46058</v>
      </c>
      <c r="D260" s="2">
        <v>46058</v>
      </c>
      <c r="E260"/>
      <c r="F260" s="3"/>
      <c r="G260"/>
      <c r="H260" t="inlineStr">
        <is>
          <t>Website</t>
        </is>
      </c>
      <c r="I260" t="inlineStr">
        <is>
          <t>งานประจำวัน</t>
        </is>
      </c>
      <c r="J260" t="inlineStr">
        <is>
          <t>Done</t>
        </is>
      </c>
      <c r="K260"/>
      <c r="L260" s="3"/>
      <c r="M260"/>
      <c r="N260" t="inlineStr">
        <is>
          <t>Android</t>
        </is>
      </c>
      <c r="O260"/>
    </row>
    <row r="261" ht="12.75" customHeight="1">
      <c r="A261" t="inlineStr">
        <is>
          <t>vivo Vlog Cam</t>
        </is>
      </c>
      <c r="B261" t="inlineStr">
        <is>
          <t>Saktaphat Kordjan</t>
        </is>
      </c>
      <c r="C261" s="2">
        <v>46058</v>
      </c>
      <c r="D261" s="2">
        <v>46058</v>
      </c>
      <c r="E261"/>
      <c r="F261" s="3"/>
      <c r="G261"/>
      <c r="H261" t="inlineStr">
        <is>
          <t>Pic Posts / Album, Website</t>
        </is>
      </c>
      <c r="I261" t="inlineStr">
        <is>
          <t>งานประจำวัน</t>
        </is>
      </c>
      <c r="J261" t="inlineStr">
        <is>
          <t>Done</t>
        </is>
      </c>
      <c r="K261"/>
      <c r="L261" s="3"/>
      <c r="M261"/>
      <c r="N261" t="inlineStr">
        <is>
          <t>Tech</t>
        </is>
      </c>
      <c r="O261"/>
    </row>
    <row r="262" ht="12.75" customHeight="1">
      <c r="A262" t="inlineStr">
        <is>
          <t>แชร์ประสบการร์ Xiaomi vacuum 5 pro</t>
        </is>
      </c>
      <c r="B262" t="inlineStr">
        <is>
          <t>Saktaphat Kordjan</t>
        </is>
      </c>
      <c r="C262" s="2">
        <v>46058</v>
      </c>
      <c r="D262" s="2">
        <v>46058</v>
      </c>
      <c r="E262"/>
      <c r="F262" s="3"/>
      <c r="G262"/>
      <c r="H262" t="inlineStr">
        <is>
          <t>YouTube</t>
        </is>
      </c>
      <c r="I262" t="inlineStr">
        <is>
          <t>เสนอไอเดีย</t>
        </is>
      </c>
      <c r="J262" t="inlineStr">
        <is>
          <t>Done</t>
        </is>
      </c>
      <c r="K262"/>
      <c r="L262" s="3"/>
      <c r="M262" t="inlineStr">
        <is>
          <t>1</t>
        </is>
      </c>
      <c r="N262" t="inlineStr">
        <is>
          <t>Tech</t>
        </is>
      </c>
      <c r="O262"/>
    </row>
    <row r="263" ht="12.75" customHeight="1">
      <c r="A263" t="inlineStr">
        <is>
          <t>รวม 5 หัวชาร์จแนะนำ! ต้นปี 2026</t>
        </is>
      </c>
      <c r="B263" t="inlineStr">
        <is>
          <t>Tom iMoD,Krongkwun  Rithiwong,Sasithakan Sritonthip</t>
        </is>
      </c>
      <c r="C263" s="2">
        <v>46058</v>
      </c>
      <c r="D263" s="2">
        <v>46059</v>
      </c>
      <c r="E263" t="inlineStr">
        <is>
          <t>ปกติ</t>
        </is>
      </c>
      <c r="F263" s="3"/>
      <c r="G263" t="inlineStr">
        <is>
          <t>script-charger-updated.pdf</t>
        </is>
      </c>
      <c r="H263" t="inlineStr">
        <is>
          <t>YouTube</t>
        </is>
      </c>
      <c r="I263" t="inlineStr">
        <is>
          <t>งานประจำวัน</t>
        </is>
      </c>
      <c r="J263" t="inlineStr">
        <is>
          <t>Done</t>
        </is>
      </c>
      <c r="K263"/>
      <c r="L263" s="3"/>
      <c r="M263" t="inlineStr">
        <is>
          <t>1</t>
        </is>
      </c>
      <c r="N263" t="inlineStr">
        <is>
          <t>Tech</t>
        </is>
      </c>
      <c r="O263"/>
    </row>
    <row r="264" ht="12.75" customHeight="1">
      <c r="A264" t="inlineStr">
        <is>
          <t>Dyson PencilVac</t>
        </is>
      </c>
      <c r="B264" t="inlineStr">
        <is>
          <t>Krongkwun  Rithiwong</t>
        </is>
      </c>
      <c r="C264" s="2">
        <v>46058</v>
      </c>
      <c r="D264" s="2">
        <v>46058</v>
      </c>
      <c r="E264" t="inlineStr">
        <is>
          <t>ปกติ</t>
        </is>
      </c>
      <c r="F264" s="3" t="str">
        <f>=HYPERLINK("https://www.iphonemod.net/the-dyson-pencilvac-is-finally-available-and-costs-600.html", "https://www.iphonemod.net/the-dyson-pencilvac-is-finally-available-and-costs-600.html")</f>
        <v>https://www.iphonemod.net/the-dyson-pencilvac-is-finally-available-and-costs-600.html</v>
      </c>
      <c r="G264"/>
      <c r="H264" t="inlineStr">
        <is>
          <t>Website</t>
        </is>
      </c>
      <c r="I264" t="inlineStr">
        <is>
          <t>งานประจำวัน</t>
        </is>
      </c>
      <c r="J264" t="inlineStr">
        <is>
          <t>Done</t>
        </is>
      </c>
      <c r="K264"/>
      <c r="L264" s="3"/>
      <c r="M264" t="inlineStr">
        <is>
          <t>1</t>
        </is>
      </c>
      <c r="N264" t="inlineStr">
        <is>
          <t>Tech</t>
        </is>
      </c>
      <c r="O264"/>
    </row>
    <row r="265" ht="12.75" customHeight="1">
      <c r="A265" t="inlineStr">
        <is>
          <t>สรุปเลือกตั้ง 2026</t>
        </is>
      </c>
      <c r="B265" t="inlineStr">
        <is>
          <t>Krongkwun  Rithiwong</t>
        </is>
      </c>
      <c r="C265" s="2">
        <v>46058</v>
      </c>
      <c r="D265" s="2">
        <v>46058</v>
      </c>
      <c r="E265" t="inlineStr">
        <is>
          <t>ด่วน!</t>
        </is>
      </c>
      <c r="F265" s="3"/>
      <c r="G265"/>
      <c r="H265" t="inlineStr">
        <is>
          <t>Shorts</t>
        </is>
      </c>
      <c r="I265"/>
      <c r="J265" t="inlineStr">
        <is>
          <t>Done</t>
        </is>
      </c>
      <c r="K265"/>
      <c r="L265" s="3"/>
      <c r="M265" t="inlineStr">
        <is>
          <t>1</t>
        </is>
      </c>
      <c r="N265" t="inlineStr">
        <is>
          <t>ทั่วไป</t>
        </is>
      </c>
      <c r="O265"/>
    </row>
    <row r="266" ht="12.75" customHeight="1">
      <c r="A266" t="inlineStr">
        <is>
          <t>Nothing Phone (4a) และ (4a) Pro อาจเปิดตัวต้นเดือน มี.ค. นี้</t>
        </is>
      </c>
      <c r="B266" t="inlineStr">
        <is>
          <t>Saktaphat Kordjan</t>
        </is>
      </c>
      <c r="C266" s="2">
        <v>46057</v>
      </c>
      <c r="D266" s="2">
        <v>46057</v>
      </c>
      <c r="E266"/>
      <c r="F266" s="3"/>
      <c r="G266"/>
      <c r="H266" t="inlineStr">
        <is>
          <t>Website</t>
        </is>
      </c>
      <c r="I266" t="inlineStr">
        <is>
          <t>งานประจำวัน</t>
        </is>
      </c>
      <c r="J266" t="inlineStr">
        <is>
          <t>Done</t>
        </is>
      </c>
      <c r="K266"/>
      <c r="L266" s="3"/>
      <c r="M266" t="inlineStr">
        <is>
          <t>1</t>
        </is>
      </c>
      <c r="N266" t="inlineStr">
        <is>
          <t>Android</t>
        </is>
      </c>
      <c r="O266"/>
    </row>
    <row r="267" ht="12.75" customHeight="1">
      <c r="A267" t="inlineStr">
        <is>
          <t>iPhone 18 ทุกรุ่นอาจยังใช้ดีไซน์เดิม</t>
        </is>
      </c>
      <c r="B267" t="inlineStr">
        <is>
          <t>Thitirath Kinaret</t>
        </is>
      </c>
      <c r="C267" s="2">
        <v>46057</v>
      </c>
      <c r="D267" s="2">
        <v>46057</v>
      </c>
      <c r="E267"/>
      <c r="F267" s="3"/>
      <c r="G267"/>
      <c r="H267" t="inlineStr">
        <is>
          <t>Website, Pic Posts / Album</t>
        </is>
      </c>
      <c r="I267" t="inlineStr">
        <is>
          <t>งานประจำวัน</t>
        </is>
      </c>
      <c r="J267" t="inlineStr">
        <is>
          <t>Done</t>
        </is>
      </c>
      <c r="K267"/>
      <c r="L267" s="3"/>
      <c r="M267"/>
      <c r="N267" t="inlineStr">
        <is>
          <t>Apple</t>
        </is>
      </c>
      <c r="O267"/>
    </row>
    <row r="268" ht="12.75" customHeight="1">
      <c r="A268" t="inlineStr">
        <is>
          <t>วิธีตั้งค่า iPhone ให้ถนอมสายตา | อัปเดต 2026</t>
        </is>
      </c>
      <c r="B268" t="inlineStr">
        <is>
          <t>Thitirath Kinaret</t>
        </is>
      </c>
      <c r="C268" s="2">
        <v>46057</v>
      </c>
      <c r="D268" s="2">
        <v>46057</v>
      </c>
      <c r="E268"/>
      <c r="F268" s="3"/>
      <c r="G268"/>
      <c r="H268" t="inlineStr">
        <is>
          <t>Website</t>
        </is>
      </c>
      <c r="I268" t="inlineStr">
        <is>
          <t>งานประจำวัน</t>
        </is>
      </c>
      <c r="J268" t="inlineStr">
        <is>
          <t>Done</t>
        </is>
      </c>
      <c r="K268"/>
      <c r="L268" s="3"/>
      <c r="M268"/>
      <c r="N268" t="inlineStr">
        <is>
          <t>Apple</t>
        </is>
      </c>
      <c r="O268"/>
    </row>
    <row r="269" ht="12.75" customHeight="1">
      <c r="A269" t="inlineStr">
        <is>
          <t>เปิดตัว Xcode 26.3 พร้อมฟีเจอร์ Agentic Coding</t>
        </is>
      </c>
      <c r="B269" t="inlineStr">
        <is>
          <t>Nattida Suriyodara</t>
        </is>
      </c>
      <c r="C269" s="2">
        <v>46057</v>
      </c>
      <c r="D269" s="2">
        <v>46057</v>
      </c>
      <c r="E269"/>
      <c r="F269" s="3"/>
      <c r="G269"/>
      <c r="H269" t="inlineStr">
        <is>
          <t>Website</t>
        </is>
      </c>
      <c r="I269" t="inlineStr">
        <is>
          <t>งานประจำวัน</t>
        </is>
      </c>
      <c r="J269" t="inlineStr">
        <is>
          <t>Done</t>
        </is>
      </c>
      <c r="K269"/>
      <c r="L269" s="3"/>
      <c r="M269"/>
      <c r="N269" t="inlineStr">
        <is>
          <t>AI</t>
        </is>
      </c>
      <c r="O269"/>
    </row>
    <row r="270" ht="12.75" customHeight="1">
      <c r="A270" t="inlineStr">
        <is>
          <t>Apple Watch มีคนได้รับแจ้งเตือน Hypertension notifications</t>
        </is>
      </c>
      <c r="B270" t="inlineStr">
        <is>
          <t>Nattida Suriyodara</t>
        </is>
      </c>
      <c r="C270" s="2">
        <v>46057</v>
      </c>
      <c r="D270" s="2">
        <v>46057</v>
      </c>
      <c r="E270"/>
      <c r="F270" s="3"/>
      <c r="G270"/>
      <c r="H270" t="inlineStr">
        <is>
          <t>Shorts, Website</t>
        </is>
      </c>
      <c r="I270" t="inlineStr">
        <is>
          <t>งานประจำวัน</t>
        </is>
      </c>
      <c r="J270" t="inlineStr">
        <is>
          <t>Done</t>
        </is>
      </c>
      <c r="K270"/>
      <c r="L270" s="3"/>
      <c r="M270"/>
      <c r="N270" t="inlineStr">
        <is>
          <t>Apple</t>
        </is>
      </c>
      <c r="O270"/>
    </row>
    <row r="271" ht="12.75" customHeight="1">
      <c r="A271" t="inlineStr">
        <is>
          <t>แนะนำแอป Smart Vote ดูเลขผู้สมัคร เลขพรรค และอื่น ๆ</t>
        </is>
      </c>
      <c r="B271" t="inlineStr">
        <is>
          <t>Thitirath Kinaret</t>
        </is>
      </c>
      <c r="C271" s="2">
        <v>46057</v>
      </c>
      <c r="D271" s="2">
        <v>46057</v>
      </c>
      <c r="E271"/>
      <c r="F271" s="3"/>
      <c r="G271"/>
      <c r="H271" t="inlineStr">
        <is>
          <t>Pic Posts / Album</t>
        </is>
      </c>
      <c r="I271" t="inlineStr">
        <is>
          <t>งานประจำวัน</t>
        </is>
      </c>
      <c r="J271" t="inlineStr">
        <is>
          <t>Done</t>
        </is>
      </c>
      <c r="K271"/>
      <c r="L271" s="3" t="str">
        <f>=HYPERLINK("https://www.facebook.com/iPhonemod/posts/pfbid0Z5n6NmVVvkjemBJB2G3EzPFDnK3eSBrtojJaX4Q1NGygysNYJVQN9WfbA7o6U8tyl?__cft__[0]=AZZQpGlcKr5SRM5tv0iZudZHblwzA4d-QeDO0cFqp1vKXQSZZ3KMzkmP0-WzNWcxHYmjAUx8tfCcdE-_oxKjvy6DxxWwC-OgCtN9U3JwTCb01Hq8Hn2PL4O7vP25RnfdOHHu-UqC1LRyxKHFGjSd8I0PHDmZze7LWFzsBebYj58px4EZaoCwsHTaF8gxsy27gTk&amp;__tn__=%2CO%2CP-R", "https://www.facebook.com/iPhonemod/posts/pfbid0Z5n6NmVVvkjemBJB2G3EzPFDnK3eSBrtojJaX4Q1NGygysNYJVQN9WfbA7o6U8tyl?__cft__[0]=AZZQpGlcKr5SRM5tv0iZudZHblwzA4d-QeDO0cFqp1vKXQSZZ3KMzkmP0-WzNWcxHYmjAUx8tfCcdE-_oxKjvy6DxxWwC-OgCtN9U3JwTCb01Hq8Hn2PL4O7vP25RnfdOHHu-UqC1LRyxKHFGjSd8I0PHDmZze7LWFzsBebYj58px4EZaoCwsHTaF8gxsy27gTk&amp;__tn__=%2CO%2CP-R")</f>
        <v>https://www.facebook.com/iPhonemod/posts/pfbid0Z5n6NmVVvkjemBJB2G3EzPFDnK3eSBrtojJaX4Q1NGygysNYJVQN9WfbA7o6U8tyl?__cft__[0]=AZZQpGlcKr5SRM5tv0iZudZHblwzA4d-QeDO0cFqp1vKXQSZZ3KMzkmP0-WzNWcxHYmjAUx8tfCcdE-_oxKjvy6DxxWwC-OgCtN9U3JwTCb01Hq8Hn2PL4O7vP25RnfdOHHu-UqC1LRyxKHFGjSd8I0PHDmZze7LWFzsBebYj58px4EZaoCwsHTaF8gxsy27gTk&amp;__tn__=%2CO%2CP-R</v>
      </c>
      <c r="M271"/>
      <c r="N271" t="inlineStr">
        <is>
          <t>ทั่วไป</t>
        </is>
      </c>
      <c r="O271"/>
    </row>
    <row r="272" ht="12.75" customHeight="1">
      <c r="A272" t="inlineStr">
        <is>
          <t>Elon Musk มองว่า AI จะทำให้สมาร์ตโฟนแบบเดิมล้าสมัย</t>
        </is>
      </c>
      <c r="B272" t="inlineStr">
        <is>
          <t>Saktaphat Kordjan</t>
        </is>
      </c>
      <c r="C272" s="2">
        <v>46057</v>
      </c>
      <c r="D272" s="2">
        <v>46057</v>
      </c>
      <c r="E272"/>
      <c r="F272" s="3"/>
      <c r="G272"/>
      <c r="H272" t="inlineStr">
        <is>
          <t>Website, Pic Posts / Album</t>
        </is>
      </c>
      <c r="I272" t="inlineStr">
        <is>
          <t>งานประจำวัน</t>
        </is>
      </c>
      <c r="J272" t="inlineStr">
        <is>
          <t>Done</t>
        </is>
      </c>
      <c r="K272"/>
      <c r="L272" s="3"/>
      <c r="M272"/>
      <c r="N272" t="inlineStr">
        <is>
          <t>AI</t>
        </is>
      </c>
      <c r="O272"/>
    </row>
    <row r="273" ht="12.75" customHeight="1">
      <c r="A273" t="inlineStr">
        <is>
          <t>Galaxy S26 Series Teaser</t>
        </is>
      </c>
      <c r="B273" t="inlineStr">
        <is>
          <t>Saktaphat Kordjan</t>
        </is>
      </c>
      <c r="C273" s="2">
        <v>46057</v>
      </c>
      <c r="D273" s="2">
        <v>46057</v>
      </c>
      <c r="E273"/>
      <c r="F273" s="3"/>
      <c r="G273"/>
      <c r="H273" t="inlineStr">
        <is>
          <t>Pic Posts / Album</t>
        </is>
      </c>
      <c r="I273" t="inlineStr">
        <is>
          <t>งานประจำวัน</t>
        </is>
      </c>
      <c r="J273" t="inlineStr">
        <is>
          <t>Done</t>
        </is>
      </c>
      <c r="K273"/>
      <c r="L273" s="3"/>
      <c r="M273"/>
      <c r="N273" t="inlineStr">
        <is>
          <t>Android</t>
        </is>
      </c>
      <c r="O273"/>
    </row>
    <row r="274" ht="12.75" customHeight="1">
      <c r="A274" t="inlineStr">
        <is>
          <t>iCare จัดโปรฯ ตรวจเช็ก MacBook ฟรี! ทุกสาขา เริ่มแล้ววันนี้ - 13 ก.พ. 69</t>
        </is>
      </c>
      <c r="B274" t="inlineStr">
        <is>
          <t>Thitirath Kinaret</t>
        </is>
      </c>
      <c r="C274" s="2">
        <v>46057</v>
      </c>
      <c r="D274" s="2">
        <v>46057</v>
      </c>
      <c r="E274"/>
      <c r="F274" s="3"/>
      <c r="G274"/>
      <c r="H274" t="inlineStr">
        <is>
          <t>Pic Posts / Album</t>
        </is>
      </c>
      <c r="I274" t="inlineStr">
        <is>
          <t>งานประจำวัน</t>
        </is>
      </c>
      <c r="J274" t="inlineStr">
        <is>
          <t>Done</t>
        </is>
      </c>
      <c r="K274"/>
      <c r="L274" s="3"/>
      <c r="M274"/>
      <c r="N274" t="inlineStr">
        <is>
          <t>Apple</t>
        </is>
      </c>
      <c r="O274"/>
    </row>
    <row r="275" ht="12.75" customHeight="1">
      <c r="A275" t="inlineStr">
        <is>
          <t xml:space="preserve">หัวชาร์จน่าสนใจ P'Tom </t>
        </is>
      </c>
      <c r="B275" t="inlineStr">
        <is>
          <t>Krongkwun  Rithiwong,Sasithakan Sritonthip</t>
        </is>
      </c>
      <c r="C275" s="2">
        <v>46057</v>
      </c>
      <c r="D275" s="2">
        <v>46057</v>
      </c>
      <c r="E275" t="inlineStr">
        <is>
          <t>ปกติ</t>
        </is>
      </c>
      <c r="F275" s="3"/>
      <c r="G275"/>
      <c r="H275" t="inlineStr">
        <is>
          <t>YouTube</t>
        </is>
      </c>
      <c r="I275"/>
      <c r="J275" t="inlineStr">
        <is>
          <t>Done</t>
        </is>
      </c>
      <c r="K275"/>
      <c r="L275" s="3"/>
      <c r="M275" t="inlineStr">
        <is>
          <t>1</t>
        </is>
      </c>
      <c r="N275" t="inlineStr">
        <is>
          <t>Tech</t>
        </is>
      </c>
      <c r="O275"/>
    </row>
    <row r="276" ht="12.75" customHeight="1">
      <c r="A276" t="inlineStr">
        <is>
          <t>Apple ปิดประตูดาวน์เกรดกลับไป iOS 26.2 แล้ว (Stop Signing)</t>
        </is>
      </c>
      <c r="B276" t="inlineStr">
        <is>
          <t>Thitirath Kinaret</t>
        </is>
      </c>
      <c r="C276" s="2">
        <v>46056</v>
      </c>
      <c r="D276" s="2">
        <v>46056</v>
      </c>
      <c r="E276"/>
      <c r="F276" s="3"/>
      <c r="G276"/>
      <c r="H276" t="inlineStr">
        <is>
          <t>Website, Pic Posts / Album</t>
        </is>
      </c>
      <c r="I276" t="inlineStr">
        <is>
          <t>งานประจำวัน</t>
        </is>
      </c>
      <c r="J276" t="inlineStr">
        <is>
          <t>Done</t>
        </is>
      </c>
      <c r="K276"/>
      <c r="L276" s="3"/>
      <c r="M276" t="inlineStr">
        <is>
          <t>1</t>
        </is>
      </c>
      <c r="N276" t="inlineStr">
        <is>
          <t>Apple</t>
        </is>
      </c>
      <c r="O276"/>
    </row>
    <row r="277" ht="12.75" customHeight="1">
      <c r="A277" t="inlineStr">
        <is>
          <t xml:space="preserve">Firefox เพิ่มการควบคุมใหม่ ปิดฟีเจอร์ AI </t>
        </is>
      </c>
      <c r="B277" t="inlineStr">
        <is>
          <t>Nattida Suriyodara</t>
        </is>
      </c>
      <c r="C277" s="2">
        <v>46056</v>
      </c>
      <c r="D277" s="2">
        <v>46056</v>
      </c>
      <c r="E277"/>
      <c r="F277" s="3"/>
      <c r="G277"/>
      <c r="H277" t="inlineStr">
        <is>
          <t>Website</t>
        </is>
      </c>
      <c r="I277" t="inlineStr">
        <is>
          <t>งานประจำวัน</t>
        </is>
      </c>
      <c r="J277" t="inlineStr">
        <is>
          <t>Done</t>
        </is>
      </c>
      <c r="K277"/>
      <c r="L277" s="3"/>
      <c r="M277"/>
      <c r="N277" t="inlineStr">
        <is>
          <t>AI</t>
        </is>
      </c>
      <c r="O277"/>
    </row>
    <row r="278" ht="12.75" customHeight="1">
      <c r="A278" t="inlineStr">
        <is>
          <t xml:space="preserve">Codex อัปเดตใหม่ </t>
        </is>
      </c>
      <c r="B278" t="inlineStr">
        <is>
          <t>Nattida Suriyodara</t>
        </is>
      </c>
      <c r="C278" s="2">
        <v>46056</v>
      </c>
      <c r="D278" s="2">
        <v>46056</v>
      </c>
      <c r="E278"/>
      <c r="F278" s="3"/>
      <c r="G278"/>
      <c r="H278" t="inlineStr">
        <is>
          <t>Website</t>
        </is>
      </c>
      <c r="I278" t="inlineStr">
        <is>
          <t>งานประจำวัน</t>
        </is>
      </c>
      <c r="J278" t="inlineStr">
        <is>
          <t>Done</t>
        </is>
      </c>
      <c r="K278"/>
      <c r="L278" s="3"/>
      <c r="M278"/>
      <c r="N278" t="inlineStr">
        <is>
          <t>AI</t>
        </is>
      </c>
      <c r="O278"/>
    </row>
    <row r="279" ht="12.75" customHeight="1">
      <c r="A279" t="inlineStr">
        <is>
          <t>S Pen และอุปกรณ์เสริมของ Galaxy S26 Ultra หลุดก่อนเปิดตัว</t>
        </is>
      </c>
      <c r="B279" t="inlineStr">
        <is>
          <t>Saktaphat Kordjan</t>
        </is>
      </c>
      <c r="C279" s="2">
        <v>46056</v>
      </c>
      <c r="D279" s="2">
        <v>46056</v>
      </c>
      <c r="E279"/>
      <c r="F279" s="3"/>
      <c r="G279"/>
      <c r="H279" t="inlineStr">
        <is>
          <t>Website</t>
        </is>
      </c>
      <c r="I279" t="inlineStr">
        <is>
          <t>งานประจำวัน</t>
        </is>
      </c>
      <c r="J279" t="inlineStr">
        <is>
          <t>Done</t>
        </is>
      </c>
      <c r="K279"/>
      <c r="L279" s="3"/>
      <c r="M279" t="inlineStr">
        <is>
          <t>1</t>
        </is>
      </c>
      <c r="N279" t="inlineStr">
        <is>
          <t>Android</t>
        </is>
      </c>
      <c r="O279"/>
    </row>
    <row r="280" ht="12.75" customHeight="1">
      <c r="A280" t="inlineStr">
        <is>
          <t>Samsung อาจเซ็นสัญญากับ Tesla ในการจัดหาแบตเตอรี่ ESS</t>
        </is>
      </c>
      <c r="B280" t="inlineStr">
        <is>
          <t>Saktaphat Kordjan</t>
        </is>
      </c>
      <c r="C280" s="2">
        <v>46056</v>
      </c>
      <c r="D280" s="2">
        <v>46056</v>
      </c>
      <c r="E280"/>
      <c r="F280" s="3"/>
      <c r="G280"/>
      <c r="H280" t="inlineStr">
        <is>
          <t>Website</t>
        </is>
      </c>
      <c r="I280" t="inlineStr">
        <is>
          <t>งานประจำวัน</t>
        </is>
      </c>
      <c r="J280" t="inlineStr">
        <is>
          <t>Done</t>
        </is>
      </c>
      <c r="K280"/>
      <c r="L280" s="3"/>
      <c r="M280" t="inlineStr">
        <is>
          <t>1</t>
        </is>
      </c>
      <c r="N280" t="inlineStr">
        <is>
          <t>Tech</t>
        </is>
      </c>
      <c r="O280"/>
    </row>
    <row r="281" ht="12.75" customHeight="1">
      <c r="A281" t="inlineStr">
        <is>
          <t xml:space="preserve">ผู้ใช้จำนวนมากไม่ปลื้มสมาร์ตโฟน Android ที่ออกแบบเหมือน iPhone </t>
        </is>
      </c>
      <c r="B281" t="inlineStr">
        <is>
          <t>Saktaphat Kordjan</t>
        </is>
      </c>
      <c r="C281" s="2">
        <v>46056</v>
      </c>
      <c r="D281" s="2">
        <v>46056</v>
      </c>
      <c r="E281"/>
      <c r="F281" s="3"/>
      <c r="G281"/>
      <c r="H281" t="inlineStr">
        <is>
          <t>Website, Pic Posts / Album</t>
        </is>
      </c>
      <c r="I281" t="inlineStr">
        <is>
          <t>งานประจำวัน</t>
        </is>
      </c>
      <c r="J281" t="inlineStr">
        <is>
          <t>Done</t>
        </is>
      </c>
      <c r="K281"/>
      <c r="L281" s="3"/>
      <c r="M281" t="inlineStr">
        <is>
          <t>1</t>
        </is>
      </c>
      <c r="N281" t="inlineStr">
        <is>
          <t>Android</t>
        </is>
      </c>
      <c r="O281"/>
    </row>
    <row r="282" ht="12.75" customHeight="1">
      <c r="A282" t="inlineStr">
        <is>
          <t>สตาร์ตอัปจีน มีแผนจะเข้าถึงสมองด้วยการอัลตราซาวด์แบบไม่ต้องผ่าตัด</t>
        </is>
      </c>
      <c r="B282" t="inlineStr">
        <is>
          <t>Saktaphat Kordjan</t>
        </is>
      </c>
      <c r="C282" s="2">
        <v>46056</v>
      </c>
      <c r="D282" s="2">
        <v>46056</v>
      </c>
      <c r="E282"/>
      <c r="F282" s="3"/>
      <c r="G282"/>
      <c r="H282" t="inlineStr">
        <is>
          <t>Website</t>
        </is>
      </c>
      <c r="I282" t="inlineStr">
        <is>
          <t>งานประจำวัน</t>
        </is>
      </c>
      <c r="J282" t="inlineStr">
        <is>
          <t>Done</t>
        </is>
      </c>
      <c r="K282"/>
      <c r="L282" s="3"/>
      <c r="M282" t="inlineStr">
        <is>
          <t>1</t>
        </is>
      </c>
      <c r="N282" t="inlineStr">
        <is>
          <t>Tech</t>
        </is>
      </c>
      <c r="O282"/>
    </row>
    <row r="283" ht="12.75" customHeight="1">
      <c r="A283" t="inlineStr">
        <is>
          <t>Instant Digital เผยสเปก ดีไซน์ iPhone รุ่นพับได้เครื่องแรกของ Apple
</t>
        </is>
      </c>
      <c r="B283" t="inlineStr">
        <is>
          <t>Thitirath Kinaret</t>
        </is>
      </c>
      <c r="C283" s="2">
        <v>46056</v>
      </c>
      <c r="D283" s="2">
        <v>46056</v>
      </c>
      <c r="E283"/>
      <c r="F283" s="3"/>
      <c r="G283"/>
      <c r="H283" t="inlineStr">
        <is>
          <t>Pic Posts / Album, Website</t>
        </is>
      </c>
      <c r="I283" t="inlineStr">
        <is>
          <t>งานประจำวัน</t>
        </is>
      </c>
      <c r="J283" t="inlineStr">
        <is>
          <t>Done</t>
        </is>
      </c>
      <c r="K283"/>
      <c r="L283" s="3"/>
      <c r="M283"/>
      <c r="N283" t="inlineStr">
        <is>
          <t>Apple</t>
        </is>
      </c>
      <c r="O283"/>
    </row>
    <row r="284" ht="12.75" customHeight="1">
      <c r="A284" t="inlineStr">
        <is>
          <t>รวมทริคการค้นหา Google Search</t>
        </is>
      </c>
      <c r="B284" t="inlineStr">
        <is>
          <t>Nattida Suriyodara</t>
        </is>
      </c>
      <c r="C284" s="2">
        <v>46056</v>
      </c>
      <c r="D284" s="2">
        <v>46056</v>
      </c>
      <c r="E284"/>
      <c r="F284" s="3"/>
      <c r="G284"/>
      <c r="H284" t="inlineStr">
        <is>
          <t>Website, YouTube</t>
        </is>
      </c>
      <c r="I284" t="inlineStr">
        <is>
          <t>งานประจำวัน</t>
        </is>
      </c>
      <c r="J284" t="inlineStr">
        <is>
          <t>Done</t>
        </is>
      </c>
      <c r="K284"/>
      <c r="L284" s="3"/>
      <c r="M284" t="inlineStr">
        <is>
          <t>1</t>
        </is>
      </c>
      <c r="N284" t="inlineStr">
        <is>
          <t>ทั่วไป</t>
        </is>
      </c>
      <c r="O284"/>
    </row>
    <row r="285" ht="12.75" customHeight="1">
      <c r="A285" t="inlineStr">
        <is>
          <t>Adobe Firefly-AI Image</t>
        </is>
      </c>
      <c r="B285" t="inlineStr">
        <is>
          <t>Nattida Suriyodara</t>
        </is>
      </c>
      <c r="C285" s="2">
        <v>46056</v>
      </c>
      <c r="D285" s="2">
        <v>46056</v>
      </c>
      <c r="E285"/>
      <c r="F285" s="3"/>
      <c r="G285"/>
      <c r="H285" t="inlineStr">
        <is>
          <t>Website</t>
        </is>
      </c>
      <c r="I285" t="inlineStr">
        <is>
          <t>งานประจำวัน</t>
        </is>
      </c>
      <c r="J285" t="inlineStr">
        <is>
          <t>Done</t>
        </is>
      </c>
      <c r="K285"/>
      <c r="L285" s="3"/>
      <c r="M285"/>
      <c r="N285" t="inlineStr">
        <is>
          <t>AI</t>
        </is>
      </c>
      <c r="O285"/>
    </row>
    <row r="286" ht="12.75" customHeight="1">
      <c r="A286" t="inlineStr">
        <is>
          <t>Amazon เปิดให้ผู้ใช้ในสหรัฐฯ ทุกคนใช้ฟีเจอร์ Search Party ตามหาสุนัขที่หายได้ฟรี</t>
        </is>
      </c>
      <c r="B286" t="inlineStr">
        <is>
          <t>Thitirath Kinaret</t>
        </is>
      </c>
      <c r="C286" s="2">
        <v>46056</v>
      </c>
      <c r="D286" s="2">
        <v>46056</v>
      </c>
      <c r="E286"/>
      <c r="F286" s="3"/>
      <c r="G286"/>
      <c r="H286" t="inlineStr">
        <is>
          <t>Website, Pic Posts / Album</t>
        </is>
      </c>
      <c r="I286" t="inlineStr">
        <is>
          <t>งานประจำวัน</t>
        </is>
      </c>
      <c r="J286" t="inlineStr">
        <is>
          <t>Done</t>
        </is>
      </c>
      <c r="K286"/>
      <c r="L286" s="3"/>
      <c r="M286"/>
      <c r="N286" t="inlineStr">
        <is>
          <t>Tech</t>
        </is>
      </c>
      <c r="O286"/>
    </row>
    <row r="287" ht="12.75" customHeight="1">
      <c r="A287" t="inlineStr">
        <is>
          <t>Biwin เปิดตัว Mini SSD รุ่น BL100 หน้าตาเหมือน microSD แต่คือ SSD  2TB</t>
        </is>
      </c>
      <c r="B287" t="inlineStr">
        <is>
          <t>Thitirath Kinaret</t>
        </is>
      </c>
      <c r="C287" s="2">
        <v>46056</v>
      </c>
      <c r="D287" s="2">
        <v>46056</v>
      </c>
      <c r="E287"/>
      <c r="F287" s="3"/>
      <c r="G287"/>
      <c r="H287" t="inlineStr">
        <is>
          <t>Website, Pic Posts / Album</t>
        </is>
      </c>
      <c r="I287" t="inlineStr">
        <is>
          <t>งานประจำวัน</t>
        </is>
      </c>
      <c r="J287" t="inlineStr">
        <is>
          <t>Done</t>
        </is>
      </c>
      <c r="K287"/>
      <c r="L287" s="3"/>
      <c r="M287"/>
      <c r="N287" t="inlineStr">
        <is>
          <t>Tech</t>
        </is>
      </c>
      <c r="O287"/>
    </row>
    <row r="288" ht="12.75" customHeight="1">
      <c r="A288" t="inlineStr">
        <is>
          <t>RetroVa Vintage Image Kit เปลี่ยน iPhone ให้เป็นกล้องวินเทจแบบแยกชิ้นได้
</t>
        </is>
      </c>
      <c r="B288" t="inlineStr">
        <is>
          <t>Thitirath Kinaret</t>
        </is>
      </c>
      <c r="C288" s="2">
        <v>46056</v>
      </c>
      <c r="D288" s="2">
        <v>46056</v>
      </c>
      <c r="E288"/>
      <c r="F288" s="3"/>
      <c r="G288"/>
      <c r="H288" t="inlineStr">
        <is>
          <t>Pic Posts / Album, Website</t>
        </is>
      </c>
      <c r="I288" t="inlineStr">
        <is>
          <t>งานประจำวัน</t>
        </is>
      </c>
      <c r="J288" t="inlineStr">
        <is>
          <t>Done</t>
        </is>
      </c>
      <c r="K288"/>
      <c r="L288" s="3"/>
      <c r="M288"/>
      <c r="N288" t="inlineStr">
        <is>
          <t>Tech</t>
        </is>
      </c>
      <c r="O288"/>
    </row>
    <row r="289" ht="12.75" customHeight="1">
      <c r="A289" t="inlineStr">
        <is>
          <t>คาดหวังอะไรใน Galaxy S26 Series EP1.</t>
        </is>
      </c>
      <c r="B289" t="inlineStr">
        <is>
          <t>Saktaphat Kordjan</t>
        </is>
      </c>
      <c r="C289" s="2">
        <v>46056</v>
      </c>
      <c r="D289" s="2">
        <v>46056</v>
      </c>
      <c r="E289"/>
      <c r="F289" s="3"/>
      <c r="G289"/>
      <c r="H289" t="inlineStr">
        <is>
          <t>Shorts</t>
        </is>
      </c>
      <c r="I289" t="inlineStr">
        <is>
          <t>งานประจำวัน</t>
        </is>
      </c>
      <c r="J289" t="inlineStr">
        <is>
          <t>Done</t>
        </is>
      </c>
      <c r="K289"/>
      <c r="L289" s="3"/>
      <c r="M289"/>
      <c r="N289" t="inlineStr">
        <is>
          <t>Android</t>
        </is>
      </c>
      <c r="O289"/>
    </row>
    <row r="290" ht="12.75" customHeight="1">
      <c r="A290" t="inlineStr">
        <is>
          <t>(ตัดจากคลิปใหญ่) รวมมือถือน่าซื้อ ต้นปี 2026 อยากบอกต่อ</t>
        </is>
      </c>
      <c r="B290" t="inlineStr">
        <is>
          <t>Saktaphat Kordjan,Sasithakan Sritonthip</t>
        </is>
      </c>
      <c r="C290" s="2">
        <v>46056</v>
      </c>
      <c r="D290" s="2">
        <v>46056</v>
      </c>
      <c r="E290" t="inlineStr">
        <is>
          <t>ปกติ</t>
        </is>
      </c>
      <c r="F290" s="3" t="str">
        <f>=HYPERLINK("https://www.youtube.com/watch?v=uOUQpl0gSZ4", "https://www.youtube.com/watch?v=uOUQpl0gSZ4")</f>
        <v>https://www.youtube.com/watch?v=uOUQpl0gSZ4</v>
      </c>
      <c r="G290"/>
      <c r="H290" t="inlineStr">
        <is>
          <t>Shorts</t>
        </is>
      </c>
      <c r="I290" t="inlineStr">
        <is>
          <t>งานประจำวัน</t>
        </is>
      </c>
      <c r="J290" t="inlineStr">
        <is>
          <t>Done</t>
        </is>
      </c>
      <c r="K290"/>
      <c r="L290" s="3"/>
      <c r="M290" t="inlineStr">
        <is>
          <t>1</t>
        </is>
      </c>
      <c r="N290" t="inlineStr">
        <is>
          <t>Apple</t>
        </is>
      </c>
      <c r="O290"/>
    </row>
    <row r="291" ht="12.75" customHeight="1">
      <c r="A291" t="inlineStr">
        <is>
          <t>คาดหวังอะไรใน Galaxy S26 Series EP2</t>
        </is>
      </c>
      <c r="B291" t="inlineStr">
        <is>
          <t>Saktaphat Kordjan</t>
        </is>
      </c>
      <c r="C291" s="2">
        <v>46056</v>
      </c>
      <c r="D291" s="2">
        <v>46056</v>
      </c>
      <c r="E291"/>
      <c r="F291" s="3"/>
      <c r="G291"/>
      <c r="H291" t="inlineStr">
        <is>
          <t>Shorts</t>
        </is>
      </c>
      <c r="I291" t="inlineStr">
        <is>
          <t>งานประจำวัน</t>
        </is>
      </c>
      <c r="J291" t="inlineStr">
        <is>
          <t>Done</t>
        </is>
      </c>
      <c r="K291"/>
      <c r="L291" s="3"/>
      <c r="M291"/>
      <c r="N291" t="inlineStr">
        <is>
          <t>Android</t>
        </is>
      </c>
      <c r="O291"/>
    </row>
    <row r="292" ht="12.75" customHeight="1">
      <c r="A292" t="inlineStr">
        <is>
          <t>หลุดโปสเตอร์ S26</t>
        </is>
      </c>
      <c r="B292" t="inlineStr">
        <is>
          <t>Saktaphat Kordjan</t>
        </is>
      </c>
      <c r="C292" s="2">
        <v>46056</v>
      </c>
      <c r="D292" s="2">
        <v>46056</v>
      </c>
      <c r="E292"/>
      <c r="F292" s="3"/>
      <c r="G292"/>
      <c r="H292" t="inlineStr">
        <is>
          <t>Website, Pic Posts / Album</t>
        </is>
      </c>
      <c r="I292" t="inlineStr">
        <is>
          <t>งานประจำวัน</t>
        </is>
      </c>
      <c r="J292" t="inlineStr">
        <is>
          <t>Done</t>
        </is>
      </c>
      <c r="K292"/>
      <c r="L292" s="3"/>
      <c r="M292"/>
      <c r="N292" t="inlineStr">
        <is>
          <t>Android</t>
        </is>
      </c>
      <c r="O292"/>
    </row>
    <row r="293" ht="12.75" customHeight="1">
      <c r="A293" t="inlineStr">
        <is>
          <t>รีแคปข่าว Apple Watch เตือนหัวใจเต้นเร็ว + วิธีตั้งค่า</t>
        </is>
      </c>
      <c r="B293" t="inlineStr">
        <is>
          <t>Nattida Suriyodara</t>
        </is>
      </c>
      <c r="C293" s="2">
        <v>46056</v>
      </c>
      <c r="D293" s="2">
        <v>46056</v>
      </c>
      <c r="E293"/>
      <c r="F293" s="3"/>
      <c r="G293"/>
      <c r="H293" t="inlineStr">
        <is>
          <t>Shorts</t>
        </is>
      </c>
      <c r="I293" t="inlineStr">
        <is>
          <t>งานประจำวัน</t>
        </is>
      </c>
      <c r="J293" t="inlineStr">
        <is>
          <t>Done</t>
        </is>
      </c>
      <c r="K293"/>
      <c r="L293" s="3"/>
      <c r="M293" t="inlineStr">
        <is>
          <t>1</t>
        </is>
      </c>
      <c r="N293" t="inlineStr">
        <is>
          <t>Apple</t>
        </is>
      </c>
      <c r="O293"/>
    </row>
    <row r="294" ht="12.75" customHeight="1">
      <c r="A294" t="inlineStr">
        <is>
          <t>(ตัดจากคลิปใหญ่) รวมแท็บเล็ตน่าซื้อ ต้นปี 2026 อยากบอกต่อ</t>
        </is>
      </c>
      <c r="B294" t="inlineStr">
        <is>
          <t>Saktaphat Kordjan,Sasithakan Sritonthip</t>
        </is>
      </c>
      <c r="C294" s="2">
        <v>46056</v>
      </c>
      <c r="D294" s="2">
        <v>46057</v>
      </c>
      <c r="E294" t="inlineStr">
        <is>
          <t>ปกติ</t>
        </is>
      </c>
      <c r="F294" s="3" t="str">
        <f>=HYPERLINK("https://www.youtube.com/watch?v=uOUQpl0gSZ4", "https://www.youtube.com/watch?v=uOUQpl0gSZ4")</f>
        <v>https://www.youtube.com/watch?v=uOUQpl0gSZ4</v>
      </c>
      <c r="G294"/>
      <c r="H294" t="inlineStr">
        <is>
          <t>Shorts</t>
        </is>
      </c>
      <c r="I294" t="inlineStr">
        <is>
          <t>งานประจำวัน</t>
        </is>
      </c>
      <c r="J294" t="inlineStr">
        <is>
          <t>Done</t>
        </is>
      </c>
      <c r="K294"/>
      <c r="L294" s="3"/>
      <c r="M294" t="inlineStr">
        <is>
          <t>1</t>
        </is>
      </c>
      <c r="N294" t="inlineStr">
        <is>
          <t>Apple</t>
        </is>
      </c>
      <c r="O294"/>
    </row>
    <row r="295" ht="12.75" customHeight="1">
      <c r="A295" t="inlineStr">
        <is>
          <t>หลุดสเปคกล้อง Oppo Find X10 Pro คาดใช้เซนเซอร์ 200MP สองตัว</t>
        </is>
      </c>
      <c r="B295" t="inlineStr">
        <is>
          <t>Saktaphat Kordjan</t>
        </is>
      </c>
      <c r="C295" s="2">
        <v>46056</v>
      </c>
      <c r="D295" s="2">
        <v>46056</v>
      </c>
      <c r="E295"/>
      <c r="F295" s="3"/>
      <c r="G295"/>
      <c r="H295" t="inlineStr">
        <is>
          <t>Website</t>
        </is>
      </c>
      <c r="I295" t="inlineStr">
        <is>
          <t>งานประจำวัน</t>
        </is>
      </c>
      <c r="J295" t="inlineStr">
        <is>
          <t>Done</t>
        </is>
      </c>
      <c r="K295"/>
      <c r="L295" s="3"/>
      <c r="M295"/>
      <c r="N295" t="inlineStr">
        <is>
          <t>Android</t>
        </is>
      </c>
      <c r="O295"/>
    </row>
    <row r="296" ht="12.75" customHeight="1">
      <c r="A296" t="inlineStr">
        <is>
          <t>Adobe ยุติ Animate</t>
        </is>
      </c>
      <c r="B296" t="inlineStr">
        <is>
          <t>Krongkwun  Rithiwong</t>
        </is>
      </c>
      <c r="C296" s="2">
        <v>46056</v>
      </c>
      <c r="D296" s="2">
        <v>46056</v>
      </c>
      <c r="E296" t="inlineStr">
        <is>
          <t>ปกติ</t>
        </is>
      </c>
      <c r="F296" s="3" t="str">
        <f>=HYPERLINK("https://www.iphonemod.net/adobe-animate-is-shutting-down-as-company-focuses-on-ai.html", "https://www.iphonemod.net/adobe-animate-is-shutting-down-as-company-focuses-on-ai.html")</f>
        <v>https://www.iphonemod.net/adobe-animate-is-shutting-down-as-company-focuses-on-ai.html</v>
      </c>
      <c r="G296"/>
      <c r="H296" t="inlineStr">
        <is>
          <t>Website, Shorts</t>
        </is>
      </c>
      <c r="I296"/>
      <c r="J296" t="inlineStr">
        <is>
          <t>Done</t>
        </is>
      </c>
      <c r="K296"/>
      <c r="L296" s="3"/>
      <c r="M296" t="inlineStr">
        <is>
          <t>1</t>
        </is>
      </c>
      <c r="N296" t="inlineStr">
        <is>
          <t>Tech</t>
        </is>
      </c>
      <c r="O296"/>
    </row>
    <row r="297" ht="12.75" customHeight="1">
      <c r="A297" t="inlineStr">
        <is>
          <t>F1 ได้ Grammy</t>
        </is>
      </c>
      <c r="B297" t="inlineStr">
        <is>
          <t>Krongkwun  Rithiwong</t>
        </is>
      </c>
      <c r="C297" s="2">
        <v>46056</v>
      </c>
      <c r="D297" s="2">
        <v>46056</v>
      </c>
      <c r="E297" t="inlineStr">
        <is>
          <t>ปกติ</t>
        </is>
      </c>
      <c r="F297" s="3" t="str">
        <f>=HYPERLINK("https://www.iphonemod.net/f1-the-movie-scores-grammy-for-best-country-solo-performance.html", "https://www.iphonemod.net/f1-the-movie-scores-grammy-for-best-country-solo-performance.html")</f>
        <v>https://www.iphonemod.net/f1-the-movie-scores-grammy-for-best-country-solo-performance.html</v>
      </c>
      <c r="G297"/>
      <c r="H297" t="inlineStr">
        <is>
          <t>Website</t>
        </is>
      </c>
      <c r="I297"/>
      <c r="J297" t="inlineStr">
        <is>
          <t>Done</t>
        </is>
      </c>
      <c r="K297"/>
      <c r="L297" s="3"/>
      <c r="M297" t="inlineStr">
        <is>
          <t>1</t>
        </is>
      </c>
      <c r="N297" t="inlineStr">
        <is>
          <t>Apple</t>
        </is>
      </c>
      <c r="O297"/>
    </row>
    <row r="298" ht="12.75" customHeight="1">
      <c r="A298" t="inlineStr">
        <is>
          <t>หลุดหูฟัง Sony ใหม่</t>
        </is>
      </c>
      <c r="B298" t="inlineStr">
        <is>
          <t>Krongkwun  Rithiwong</t>
        </is>
      </c>
      <c r="C298" s="2">
        <v>46056</v>
      </c>
      <c r="D298" s="2">
        <v>46056</v>
      </c>
      <c r="E298" t="inlineStr">
        <is>
          <t>ปกติ</t>
        </is>
      </c>
      <c r="F298" s="3" t="str">
        <f>=HYPERLINK("https://www.iphonemod.net/sony-flagship-wf-1000xm6-earbuds-have-been-on-a-retail-site.html", "https://www.iphonemod.net/sony-flagship-wf-1000xm6-earbuds-have-been-on-a-retail-site.html")</f>
        <v>https://www.iphonemod.net/sony-flagship-wf-1000xm6-earbuds-have-been-on-a-retail-site.html</v>
      </c>
      <c r="G298"/>
      <c r="H298" t="inlineStr">
        <is>
          <t>Website</t>
        </is>
      </c>
      <c r="I298" t="inlineStr">
        <is>
          <t>งานประจำวัน</t>
        </is>
      </c>
      <c r="J298" t="inlineStr">
        <is>
          <t>Done</t>
        </is>
      </c>
      <c r="K298"/>
      <c r="L298" s="3"/>
      <c r="M298" t="inlineStr">
        <is>
          <t>1</t>
        </is>
      </c>
      <c r="N298" t="inlineStr">
        <is>
          <t>Tech</t>
        </is>
      </c>
      <c r="O298"/>
    </row>
    <row r="299" ht="12.75" customHeight="1">
      <c r="A299" t="inlineStr">
        <is>
          <t xml:space="preserve">Apple ซื้อกิจการ Q ai มูลค่า 2,000 ล้านดอลลาร์ </t>
        </is>
      </c>
      <c r="B299" t="inlineStr">
        <is>
          <t>Nattida Suriyodara</t>
        </is>
      </c>
      <c r="C299" s="2">
        <v>46055</v>
      </c>
      <c r="D299" s="2">
        <v>46055</v>
      </c>
      <c r="E299"/>
      <c r="F299" s="3"/>
      <c r="G299"/>
      <c r="H299" t="inlineStr">
        <is>
          <t>Shorts</t>
        </is>
      </c>
      <c r="I299" t="inlineStr">
        <is>
          <t>งานประจำวัน</t>
        </is>
      </c>
      <c r="J299" t="inlineStr">
        <is>
          <t>Done</t>
        </is>
      </c>
      <c r="K299"/>
      <c r="L299" s="3"/>
      <c r="M299" t="inlineStr">
        <is>
          <t>1</t>
        </is>
      </c>
      <c r="N299" t="inlineStr">
        <is>
          <t>Apple, AI</t>
        </is>
      </c>
      <c r="O299"/>
    </row>
    <row r="300" ht="12.75" customHeight="1">
      <c r="A300" t="inlineStr">
        <is>
          <t>MacBook Pro รุ่นใหม่อาจเปิดตัวพร้อม macOS 26.3</t>
        </is>
      </c>
      <c r="B300" t="inlineStr">
        <is>
          <t>Thitirath Kinaret</t>
        </is>
      </c>
      <c r="C300" s="2">
        <v>46055</v>
      </c>
      <c r="D300" s="2">
        <v>46055</v>
      </c>
      <c r="E300"/>
      <c r="F300" s="3"/>
      <c r="G300"/>
      <c r="H300" t="inlineStr">
        <is>
          <t>Website, Pic Posts / Album</t>
        </is>
      </c>
      <c r="I300" t="inlineStr">
        <is>
          <t>งานประจำวัน</t>
        </is>
      </c>
      <c r="J300" t="inlineStr">
        <is>
          <t>Done</t>
        </is>
      </c>
      <c r="K300"/>
      <c r="L300" s="3"/>
      <c r="M300"/>
      <c r="N300" t="inlineStr">
        <is>
          <t>Apple</t>
        </is>
      </c>
      <c r="O300"/>
    </row>
    <row r="301" ht="12.75" customHeight="1">
      <c r="A301" t="inlineStr">
        <is>
          <t>Nvidia เตรียมลงทุน “มหาศาล” ร่วมกับ OpenAI</t>
        </is>
      </c>
      <c r="B301" t="inlineStr">
        <is>
          <t>Sasithakan Sritonthip</t>
        </is>
      </c>
      <c r="C301" s="2">
        <v>46055</v>
      </c>
      <c r="D301" s="2">
        <v>46055</v>
      </c>
      <c r="E301" t="inlineStr">
        <is>
          <t>ปกติ</t>
        </is>
      </c>
      <c r="F301" s="3" t="str">
        <f>=HYPERLINK("https://cybernews.com/ai-news/nvidia-to-make-huge-investment-in-openai-as-100-billion-plan-faces-questions/", "https://cybernews.com/ai-news/nvidia-to-make-huge-investment-in-openai-as-100-billion-plan-faces-questions/")</f>
        <v>https://cybernews.com/ai-news/nvidia-to-make-huge-investment-in-openai-as-100-billion-plan-faces-questions/</v>
      </c>
      <c r="G301"/>
      <c r="H301" t="inlineStr">
        <is>
          <t>Website</t>
        </is>
      </c>
      <c r="I301" t="inlineStr">
        <is>
          <t>งานประจำวัน</t>
        </is>
      </c>
      <c r="J301" t="inlineStr">
        <is>
          <t>Done</t>
        </is>
      </c>
      <c r="K301"/>
      <c r="L301" s="3" t="str">
        <f>=HYPERLINK("https://www.iphonemod.net/nvidia-to-make-huge-investment-in-openai-as-100-billion-plan-faces-questions.html", "https://www.iphonemod.net/nvidia-to-make-huge-investment-in-openai-as-100-billion-plan-faces-questions.html")</f>
        <v>https://www.iphonemod.net/nvidia-to-make-huge-investment-in-openai-as-100-billion-plan-faces-questions.html</v>
      </c>
      <c r="M301" t="inlineStr">
        <is>
          <t>1</t>
        </is>
      </c>
      <c r="N301" t="inlineStr">
        <is>
          <t>AI, Tech</t>
        </is>
      </c>
      <c r="O301"/>
    </row>
    <row r="302" ht="12.75" customHeight="1">
      <c r="A302" t="inlineStr">
        <is>
          <t>Apple กำลังเตรียมพัฒนา iPhone Flip ทรงฝาพับตลับแป้ง</t>
        </is>
      </c>
      <c r="B302" t="inlineStr">
        <is>
          <t>Sasithakan Sritonthip</t>
        </is>
      </c>
      <c r="C302" s="2">
        <v>46055</v>
      </c>
      <c r="D302" s="2">
        <v>46055</v>
      </c>
      <c r="E302" t="inlineStr">
        <is>
          <t>ปกติ</t>
        </is>
      </c>
      <c r="F302" s="3" t="str">
        <f>=HYPERLINK("https://www.macrumors.com/2026/02/01/apple-is-exploring-an-iphone-flip/", "https://www.macrumors.com/2026/02/01/apple-is-exploring-an-iphone-flip/")</f>
        <v>https://www.macrumors.com/2026/02/01/apple-is-exploring-an-iphone-flip/</v>
      </c>
      <c r="G302"/>
      <c r="H302" t="inlineStr">
        <is>
          <t>Website</t>
        </is>
      </c>
      <c r="I302" t="inlineStr">
        <is>
          <t>งานประจำวัน</t>
        </is>
      </c>
      <c r="J302" t="inlineStr">
        <is>
          <t>Done</t>
        </is>
      </c>
      <c r="K302"/>
      <c r="L302" s="3" t="str">
        <f>=HYPERLINK("https://www.iphonemod.net/apple-is-exploring-an-iphone-flip.html", "https://www.iphonemod.net/apple-is-exploring-an-iphone-flip.html")</f>
        <v>https://www.iphonemod.net/apple-is-exploring-an-iphone-flip.html</v>
      </c>
      <c r="M302" t="inlineStr">
        <is>
          <t>1</t>
        </is>
      </c>
      <c r="N302" t="inlineStr">
        <is>
          <t>Apple</t>
        </is>
      </c>
      <c r="O302"/>
    </row>
    <row r="303" ht="12.75" customHeight="1">
      <c r="A303" t="inlineStr">
        <is>
          <t>iPhone Air ลดเหลือ 29,900 บาทที่ Shopee</t>
        </is>
      </c>
      <c r="B303" t="inlineStr">
        <is>
          <t>Thitirath Kinaret</t>
        </is>
      </c>
      <c r="C303" s="2">
        <v>46055</v>
      </c>
      <c r="D303" s="2">
        <v>46055</v>
      </c>
      <c r="E303"/>
      <c r="F303" s="3"/>
      <c r="G303"/>
      <c r="H303" t="inlineStr">
        <is>
          <t>Shorts</t>
        </is>
      </c>
      <c r="I303" t="inlineStr">
        <is>
          <t>งานลูกค้า</t>
        </is>
      </c>
      <c r="J303" t="inlineStr">
        <is>
          <t>Done</t>
        </is>
      </c>
      <c r="K303"/>
      <c r="L303" s="3"/>
      <c r="M303"/>
      <c r="N303" t="inlineStr">
        <is>
          <t>Apple</t>
        </is>
      </c>
      <c r="O303" t="inlineStr">
        <is>
          <t>Studio 7</t>
        </is>
      </c>
    </row>
    <row r="304" ht="12.75" customHeight="1">
      <c r="A304" t="inlineStr">
        <is>
          <t>อดีตพนักงาน Google ถูกตัดสินความผิดฐานขโมยความลับ AI ส่งต่อให้จีน</t>
        </is>
      </c>
      <c r="B304" t="inlineStr">
        <is>
          <t>Thitirath Kinaret</t>
        </is>
      </c>
      <c r="C304" s="2">
        <v>46055</v>
      </c>
      <c r="D304" s="2">
        <v>46055</v>
      </c>
      <c r="E304"/>
      <c r="F304" s="3"/>
      <c r="G304"/>
      <c r="H304" t="inlineStr">
        <is>
          <t>Website, Pic Posts / Album</t>
        </is>
      </c>
      <c r="I304" t="inlineStr">
        <is>
          <t>งานประจำวัน</t>
        </is>
      </c>
      <c r="J304" t="inlineStr">
        <is>
          <t>Done</t>
        </is>
      </c>
      <c r="K304"/>
      <c r="L304" s="3"/>
      <c r="M304"/>
      <c r="N304" t="inlineStr">
        <is>
          <t>Tech</t>
        </is>
      </c>
      <c r="O304"/>
    </row>
    <row r="305" ht="12.75" customHeight="1">
      <c r="A305" t="inlineStr">
        <is>
          <t>iPhone Fold จอพับรุ่นแรก อาจมีแบตเตอรี่ความจุขนาดใหญ่ที่สุดใน iPhone</t>
        </is>
      </c>
      <c r="B305" t="inlineStr">
        <is>
          <t>Sasithakan Sritonthip</t>
        </is>
      </c>
      <c r="C305" s="2">
        <v>46055</v>
      </c>
      <c r="D305" s="2">
        <v>46055</v>
      </c>
      <c r="E305" t="inlineStr">
        <is>
          <t>ปกติ</t>
        </is>
      </c>
      <c r="F305" s="3" t="str">
        <f>=HYPERLINK("https://www.macrumors.com/2026/02/01/foldable-iphone-to-feature-unrivaled-battery-life/", "https://www.macrumors.com/2026/02/01/foldable-iphone-to-feature-unrivaled-battery-life/")</f>
        <v>https://www.macrumors.com/2026/02/01/foldable-iphone-to-feature-unrivaled-battery-life/</v>
      </c>
      <c r="G305"/>
      <c r="H305" t="inlineStr">
        <is>
          <t>Website</t>
        </is>
      </c>
      <c r="I305" t="inlineStr">
        <is>
          <t>งานประจำวัน</t>
        </is>
      </c>
      <c r="J305" t="inlineStr">
        <is>
          <t>Done</t>
        </is>
      </c>
      <c r="K305"/>
      <c r="L305" s="3" t="str">
        <f>=HYPERLINK("https://www.iphonemod.net/apples-foldable-iphone-rumored-to-feature-unrivaled-battery-life.html", "https://www.iphonemod.net/apples-foldable-iphone-rumored-to-feature-unrivaled-battery-life.html")</f>
        <v>https://www.iphonemod.net/apples-foldable-iphone-rumored-to-feature-unrivaled-battery-life.html</v>
      </c>
      <c r="M305" t="inlineStr">
        <is>
          <t>1</t>
        </is>
      </c>
      <c r="N305" t="inlineStr">
        <is>
          <t>Apple</t>
        </is>
      </c>
      <c r="O305"/>
    </row>
    <row r="306" ht="12.75" customHeight="1">
      <c r="A306" t="inlineStr">
        <is>
          <t>iPad Air 11" M3 บน Shopee ลดราคา!</t>
        </is>
      </c>
      <c r="B306" t="inlineStr">
        <is>
          <t>Krongkwun  Rithiwong,Sasithakan Sritonthip</t>
        </is>
      </c>
      <c r="C306" s="2">
        <v>46055</v>
      </c>
      <c r="D306" s="2">
        <v>46055</v>
      </c>
      <c r="E306" t="inlineStr">
        <is>
          <t>ปกติ</t>
        </is>
      </c>
      <c r="F306" s="3"/>
      <c r="G306"/>
      <c r="H306" t="inlineStr">
        <is>
          <t>Shorts</t>
        </is>
      </c>
      <c r="I306" t="inlineStr">
        <is>
          <t>งานประจำวัน</t>
        </is>
      </c>
      <c r="J306" t="inlineStr">
        <is>
          <t>Done</t>
        </is>
      </c>
      <c r="K306"/>
      <c r="L306" s="3"/>
      <c r="M306" t="inlineStr">
        <is>
          <t>1</t>
        </is>
      </c>
      <c r="N306" t="inlineStr">
        <is>
          <t>Apple</t>
        </is>
      </c>
      <c r="O306"/>
    </row>
    <row r="307" ht="12.75" customHeight="1">
      <c r="A307" t="inlineStr">
        <is>
          <t>iPhone 16 ลดราคา</t>
        </is>
      </c>
      <c r="B307" t="inlineStr">
        <is>
          <t>Nattida Suriyodara</t>
        </is>
      </c>
      <c r="C307" s="2">
        <v>46055</v>
      </c>
      <c r="D307" s="2">
        <v>46055</v>
      </c>
      <c r="E307"/>
      <c r="F307" s="3"/>
      <c r="G307"/>
      <c r="H307" t="inlineStr">
        <is>
          <t>Shorts</t>
        </is>
      </c>
      <c r="I307" t="inlineStr">
        <is>
          <t>งานประจำวัน</t>
        </is>
      </c>
      <c r="J307" t="inlineStr">
        <is>
          <t>Done</t>
        </is>
      </c>
      <c r="K307"/>
      <c r="L307" s="3"/>
      <c r="M307"/>
      <c r="N307" t="inlineStr">
        <is>
          <t>Apple</t>
        </is>
      </c>
      <c r="O307"/>
    </row>
    <row r="308" ht="12.75" customHeight="1">
      <c r="A308" t="inlineStr">
        <is>
          <t>iPhone Air ลดที่ Studio 7 | Shopee</t>
        </is>
      </c>
      <c r="B308" t="inlineStr">
        <is>
          <t>Thitirath Kinaret</t>
        </is>
      </c>
      <c r="C308" s="2">
        <v>46055</v>
      </c>
      <c r="D308" s="2">
        <v>46055</v>
      </c>
      <c r="E308"/>
      <c r="F308" s="3"/>
      <c r="G308"/>
      <c r="H308" t="inlineStr">
        <is>
          <t>Shorts</t>
        </is>
      </c>
      <c r="I308" t="inlineStr">
        <is>
          <t>งานลูกค้า</t>
        </is>
      </c>
      <c r="J308" t="inlineStr">
        <is>
          <t>Done</t>
        </is>
      </c>
      <c r="K308"/>
      <c r="L308" s="3"/>
      <c r="M308"/>
      <c r="N308" t="inlineStr">
        <is>
          <t>Apple</t>
        </is>
      </c>
      <c r="O308" t="inlineStr">
        <is>
          <t>Studio 7</t>
        </is>
      </c>
    </row>
    <row r="309" ht="12.75" customHeight="1">
      <c r="A309" t="inlineStr">
        <is>
          <t>iPhone 16 สมาร์ตโฟนขายดีสุดในปี 2025</t>
        </is>
      </c>
      <c r="B309" t="inlineStr">
        <is>
          <t>Thitirath Kinaret</t>
        </is>
      </c>
      <c r="C309" s="2">
        <v>46055</v>
      </c>
      <c r="D309" s="2">
        <v>46055</v>
      </c>
      <c r="E309"/>
      <c r="F309" s="3"/>
      <c r="G309"/>
      <c r="H309" t="inlineStr">
        <is>
          <t>YouTube</t>
        </is>
      </c>
      <c r="I309" t="inlineStr">
        <is>
          <t>งานประจำวัน</t>
        </is>
      </c>
      <c r="J309" t="inlineStr">
        <is>
          <t>Done</t>
        </is>
      </c>
      <c r="K309"/>
      <c r="L309" s="3"/>
      <c r="M309"/>
      <c r="N309" t="inlineStr">
        <is>
          <t>Apple</t>
        </is>
      </c>
      <c r="O309"/>
    </row>
    <row r="310" ht="12.75" customHeight="1">
      <c r="A310" t="inlineStr">
        <is>
          <t>Blindsight Neuralink</t>
        </is>
      </c>
      <c r="B310" t="inlineStr">
        <is>
          <t>Krongkwun  Rithiwong</t>
        </is>
      </c>
      <c r="C310" s="2">
        <v>46055</v>
      </c>
      <c r="D310" s="2">
        <v>46055</v>
      </c>
      <c r="E310" t="inlineStr">
        <is>
          <t>ปกติ</t>
        </is>
      </c>
      <c r="F310" s="3" t="str">
        <f>=HYPERLINK("https://www.iphonemod.net/elon-musk-provides-update-on-blindsight-implant-trials.html", "https://www.iphonemod.net/elon-musk-provides-update-on-blindsight-implant-trials.html")</f>
        <v>https://www.iphonemod.net/elon-musk-provides-update-on-blindsight-implant-trials.html</v>
      </c>
      <c r="G310"/>
      <c r="H310" t="inlineStr">
        <is>
          <t>Website, Shorts</t>
        </is>
      </c>
      <c r="I310" t="inlineStr">
        <is>
          <t>งานประจำวัน</t>
        </is>
      </c>
      <c r="J310" t="inlineStr">
        <is>
          <t>Done</t>
        </is>
      </c>
      <c r="K310"/>
      <c r="L310" s="3"/>
      <c r="M310" t="inlineStr">
        <is>
          <t>1</t>
        </is>
      </c>
      <c r="N310" t="inlineStr">
        <is>
          <t>Tech</t>
        </is>
      </c>
      <c r="O310"/>
    </row>
    <row r="311" ht="12.75" customHeight="1">
      <c r="A311" t="inlineStr">
        <is>
          <t>หุ่นยนต์ Xpeng ล้ม</t>
        </is>
      </c>
      <c r="B311" t="inlineStr">
        <is>
          <t>Krongkwun  Rithiwong</t>
        </is>
      </c>
      <c r="C311" s="2">
        <v>46055</v>
      </c>
      <c r="D311" s="2">
        <v>46063</v>
      </c>
      <c r="E311" t="inlineStr">
        <is>
          <t>ปกติ</t>
        </is>
      </c>
      <c r="F311" s="3" t="str">
        <f>=HYPERLINK("https://www.iphonemod.net/xpengs-humanoid-robot-iron-falls-at-debut-ceo-calls-it-part-of-learning-process.html", "https://www.iphonemod.net/xpengs-humanoid-robot-iron-falls-at-debut-ceo-calls-it-part-of-learning-process.html")</f>
        <v>https://www.iphonemod.net/xpengs-humanoid-robot-iron-falls-at-debut-ceo-calls-it-part-of-learning-process.html</v>
      </c>
      <c r="G311"/>
      <c r="H311" t="inlineStr">
        <is>
          <t>Website</t>
        </is>
      </c>
      <c r="I311"/>
      <c r="J311" t="inlineStr">
        <is>
          <t>Done</t>
        </is>
      </c>
      <c r="K311"/>
      <c r="L311" s="3"/>
      <c r="M311" t="inlineStr">
        <is>
          <t>1</t>
        </is>
      </c>
      <c r="N311" t="inlineStr">
        <is>
          <t>Tech</t>
        </is>
      </c>
      <c r="O311"/>
    </row>
    <row r="312" ht="12.75" customHeight="1">
      <c r="A312" t="inlineStr">
        <is>
          <t>Apple ตอบกลับประเด็น ต้นทุนชิปหน่วยความจำและ SSD ที่พุ่งสูงขึ้น</t>
        </is>
      </c>
      <c r="B312" t="inlineStr">
        <is>
          <t>Sasithakan Sritonthip</t>
        </is>
      </c>
      <c r="C312" s="2">
        <v>46052</v>
      </c>
      <c r="D312" s="2">
        <v>46052</v>
      </c>
      <c r="E312" t="inlineStr">
        <is>
          <t>ปกติ</t>
        </is>
      </c>
      <c r="F312" s="3" t="str">
        <f>=HYPERLINK("https://www.macrumors.com/2026/01/29/apple-responds-to-rising-memory-chip-prices/", "https://www.macrumors.com/2026/01/29/apple-responds-to-rising-memory-chip-prices/")</f>
        <v>https://www.macrumors.com/2026/01/29/apple-responds-to-rising-memory-chip-prices/</v>
      </c>
      <c r="G312"/>
      <c r="H312" t="inlineStr">
        <is>
          <t>Website</t>
        </is>
      </c>
      <c r="I312" t="inlineStr">
        <is>
          <t>งานประจำวัน</t>
        </is>
      </c>
      <c r="J312" t="inlineStr">
        <is>
          <t>Done</t>
        </is>
      </c>
      <c r="K312"/>
      <c r="L312" s="3" t="str">
        <f>=HYPERLINK("https://www.iphonemod.net/apple-responds-to-fast-rising-ram-and-storage-chip-prices.html", "https://www.iphonemod.net/apple-responds-to-fast-rising-ram-and-storage-chip-prices.html")</f>
        <v>https://www.iphonemod.net/apple-responds-to-fast-rising-ram-and-storage-chip-prices.html</v>
      </c>
      <c r="M312" t="inlineStr">
        <is>
          <t>1</t>
        </is>
      </c>
      <c r="N312" t="inlineStr">
        <is>
          <t>Apple</t>
        </is>
      </c>
      <c r="O312"/>
    </row>
    <row r="313" ht="12.75" customHeight="1">
      <c r="A313" t="inlineStr">
        <is>
          <t>Snap แยกเปิดตัว Spec Inc.</t>
        </is>
      </c>
      <c r="B313" t="inlineStr">
        <is>
          <t>Krongkwun  Rithiwong</t>
        </is>
      </c>
      <c r="C313" s="2">
        <v>46052</v>
      </c>
      <c r="D313" s="2">
        <v>46052</v>
      </c>
      <c r="E313" t="inlineStr">
        <is>
          <t>ปกติ</t>
        </is>
      </c>
      <c r="F313" s="3"/>
      <c r="G313"/>
      <c r="H313" t="inlineStr">
        <is>
          <t>Shorts</t>
        </is>
      </c>
      <c r="I313" t="inlineStr">
        <is>
          <t>งานประจำวัน</t>
        </is>
      </c>
      <c r="J313" t="inlineStr">
        <is>
          <t>Done</t>
        </is>
      </c>
      <c r="K313"/>
      <c r="L313" s="3"/>
      <c r="M313" t="inlineStr">
        <is>
          <t>1</t>
        </is>
      </c>
      <c r="N313" t="inlineStr">
        <is>
          <t>Tech</t>
        </is>
      </c>
      <c r="O313"/>
    </row>
    <row r="314" ht="12.75" customHeight="1">
      <c r="A314" t="inlineStr">
        <is>
          <t>WHOOP เหตุการณ์งาน AO 2026</t>
        </is>
      </c>
      <c r="B314" t="inlineStr">
        <is>
          <t>Krongkwun  Rithiwong</t>
        </is>
      </c>
      <c r="C314" s="2">
        <v>46052</v>
      </c>
      <c r="D314" s="2">
        <v>46052</v>
      </c>
      <c r="E314" t="inlineStr">
        <is>
          <t>ปกติ</t>
        </is>
      </c>
      <c r="F314" s="3"/>
      <c r="G314"/>
      <c r="H314" t="inlineStr">
        <is>
          <t>Website</t>
        </is>
      </c>
      <c r="I314" t="inlineStr">
        <is>
          <t>งานประจำวัน</t>
        </is>
      </c>
      <c r="J314" t="inlineStr">
        <is>
          <t>Done</t>
        </is>
      </c>
      <c r="K314"/>
      <c r="L314" s="3" t="str">
        <f>=HYPERLINK("https://www.iphonemod.net/banned-on-the-wrist-whoop-sends-tennis-players-underwear-to-wear-its-trackers.html", "https://www.iphonemod.net/banned-on-the-wrist-whoop-sends-tennis-players-underwear-to-wear-its-trackers.html")</f>
        <v>https://www.iphonemod.net/banned-on-the-wrist-whoop-sends-tennis-players-underwear-to-wear-its-trackers.html</v>
      </c>
      <c r="M314" t="inlineStr">
        <is>
          <t>1</t>
        </is>
      </c>
      <c r="N314" t="inlineStr">
        <is>
          <t>Tech</t>
        </is>
      </c>
      <c r="O314"/>
    </row>
    <row r="315" ht="12.75" customHeight="1">
      <c r="A315" t="inlineStr">
        <is>
          <t>The Brick</t>
        </is>
      </c>
      <c r="B315" t="inlineStr">
        <is>
          <t>Krongkwun  Rithiwong</t>
        </is>
      </c>
      <c r="C315" s="2">
        <v>46052</v>
      </c>
      <c r="D315" s="2">
        <v>46052</v>
      </c>
      <c r="E315" t="inlineStr">
        <is>
          <t>ปกติ</t>
        </is>
      </c>
      <c r="F315" s="3"/>
      <c r="G315"/>
      <c r="H315" t="inlineStr">
        <is>
          <t>Website, Pic Posts / Album</t>
        </is>
      </c>
      <c r="I315"/>
      <c r="J315" t="inlineStr">
        <is>
          <t>Done</t>
        </is>
      </c>
      <c r="K315"/>
      <c r="L315" s="3" t="str">
        <f>=HYPERLINK("https://www.iphonemod.net/the-brick-is-the-best-productivity-and-mindfulness-product-released-in-years.html", "https://www.iphonemod.net/the-brick-is-the-best-productivity-and-mindfulness-product-released-in-years.html")</f>
        <v>https://www.iphonemod.net/the-brick-is-the-best-productivity-and-mindfulness-product-released-in-years.html</v>
      </c>
      <c r="M315" t="inlineStr">
        <is>
          <t>1</t>
        </is>
      </c>
      <c r="N315" t="inlineStr">
        <is>
          <t>Tech</t>
        </is>
      </c>
      <c r="O315"/>
    </row>
    <row r="316" ht="12.75" customHeight="1">
      <c r="A316" t="inlineStr">
        <is>
          <t>Rogbid Fusion สมาร์ตวอตช์ขนาดจิ๋วที่สวมใส่กับนิ้วได้</t>
        </is>
      </c>
      <c r="B316" t="inlineStr">
        <is>
          <t>Saktaphat Kordjan</t>
        </is>
      </c>
      <c r="C316" s="2">
        <v>46052</v>
      </c>
      <c r="D316" s="2">
        <v>46052</v>
      </c>
      <c r="E316"/>
      <c r="F316" s="3"/>
      <c r="G316"/>
      <c r="H316" t="inlineStr">
        <is>
          <t>Website, Pic Posts / Album</t>
        </is>
      </c>
      <c r="I316" t="inlineStr">
        <is>
          <t>เสนอไอเดีย</t>
        </is>
      </c>
      <c r="J316" t="inlineStr">
        <is>
          <t>Done</t>
        </is>
      </c>
      <c r="K316"/>
      <c r="L316" s="3"/>
      <c r="M316" t="inlineStr">
        <is>
          <t>1</t>
        </is>
      </c>
      <c r="N316" t="inlineStr">
        <is>
          <t>Tech</t>
        </is>
      </c>
      <c r="O316"/>
    </row>
    <row r="317" ht="12.75" customHeight="1">
      <c r="A317" t="inlineStr">
        <is>
          <t>ภาพหลุดเคส UAG Galaxy S26 มีวงแหวนแม่เหล็กด้านหลัง</t>
        </is>
      </c>
      <c r="B317" t="inlineStr">
        <is>
          <t>Saktaphat Kordjan</t>
        </is>
      </c>
      <c r="C317" s="2">
        <v>46052</v>
      </c>
      <c r="D317" s="2">
        <v>46052</v>
      </c>
      <c r="E317"/>
      <c r="F317" s="3"/>
      <c r="G317"/>
      <c r="H317" t="inlineStr">
        <is>
          <t>Website</t>
        </is>
      </c>
      <c r="I317" t="inlineStr">
        <is>
          <t>งานประจำวัน</t>
        </is>
      </c>
      <c r="J317" t="inlineStr">
        <is>
          <t>Done</t>
        </is>
      </c>
      <c r="K317"/>
      <c r="L317" s="3"/>
      <c r="M317" t="inlineStr">
        <is>
          <t>1</t>
        </is>
      </c>
      <c r="N317" t="inlineStr">
        <is>
          <t>Android</t>
        </is>
      </c>
      <c r="O317"/>
    </row>
    <row r="318" ht="12.75" customHeight="1">
      <c r="A318" t="inlineStr">
        <is>
          <t>Samsung PR Display</t>
        </is>
      </c>
      <c r="B318" t="inlineStr">
        <is>
          <t>Saktaphat Kordjan</t>
        </is>
      </c>
      <c r="C318" s="2">
        <v>46052</v>
      </c>
      <c r="D318" s="2">
        <v>46052</v>
      </c>
      <c r="E318"/>
      <c r="F318" s="3"/>
      <c r="G318"/>
      <c r="H318" t="inlineStr">
        <is>
          <t>Pic Posts / Album</t>
        </is>
      </c>
      <c r="I318" t="inlineStr">
        <is>
          <t>งานประจำวัน</t>
        </is>
      </c>
      <c r="J318" t="inlineStr">
        <is>
          <t>Done</t>
        </is>
      </c>
      <c r="K318"/>
      <c r="L318" s="3"/>
      <c r="M318" t="inlineStr">
        <is>
          <t>1</t>
        </is>
      </c>
      <c r="N318" t="inlineStr">
        <is>
          <t>Tech</t>
        </is>
      </c>
      <c r="O318"/>
    </row>
    <row r="319" ht="12.75" customHeight="1">
      <c r="A319" t="inlineStr">
        <is>
          <t>ดูซีรีส์จีน ได้เงิน 1,400 บาท เช็กแล้ว ไม่ได้เงินจริง</t>
        </is>
      </c>
      <c r="B319" t="inlineStr">
        <is>
          <t>Nattida Suriyodara</t>
        </is>
      </c>
      <c r="C319" s="2">
        <v>46051</v>
      </c>
      <c r="D319" s="2">
        <v>46051</v>
      </c>
      <c r="E319"/>
      <c r="F319" s="3"/>
      <c r="G319"/>
      <c r="H319" t="inlineStr">
        <is>
          <t>Shorts</t>
        </is>
      </c>
      <c r="I319" t="inlineStr">
        <is>
          <t>งานประจำวัน</t>
        </is>
      </c>
      <c r="J319" t="inlineStr">
        <is>
          <t>Done</t>
        </is>
      </c>
      <c r="K319"/>
      <c r="L319" s="3"/>
      <c r="M319" t="inlineStr">
        <is>
          <t>1</t>
        </is>
      </c>
      <c r="N319" t="inlineStr">
        <is>
          <t>ทั่วไป</t>
        </is>
      </c>
      <c r="O319"/>
    </row>
    <row r="320" ht="12.75" customHeight="1">
      <c r="A320" t="inlineStr">
        <is>
          <t>ผู้ร่วมก่อตั้ง Halide ประกาศเข้าร่วมทีมออกแบบของ Apple</t>
        </is>
      </c>
      <c r="B320" t="inlineStr">
        <is>
          <t>Sasithakan Sritonthip</t>
        </is>
      </c>
      <c r="C320" s="2">
        <v>46051</v>
      </c>
      <c r="D320" s="2">
        <v>46051</v>
      </c>
      <c r="E320"/>
      <c r="F320" s="3" t="str">
        <f>=HYPERLINK("https://www.macrumors.com/2026/01/28/sebastiaan-de-with-joins-apple/", "https://www.macrumors.com/2026/01/28/sebastiaan-de-with-joins-apple/")</f>
        <v>https://www.macrumors.com/2026/01/28/sebastiaan-de-with-joins-apple/</v>
      </c>
      <c r="G320"/>
      <c r="H320" t="inlineStr">
        <is>
          <t>Website</t>
        </is>
      </c>
      <c r="I320" t="inlineStr">
        <is>
          <t>งานประจำวัน</t>
        </is>
      </c>
      <c r="J320" t="inlineStr">
        <is>
          <t>Done</t>
        </is>
      </c>
      <c r="K320"/>
      <c r="L320" s="3" t="str">
        <f>=HYPERLINK("https://www.iphonemod.net/halide-co-founder-sebastiaan-de-with-joins-apples-design-team.html", "https://www.iphonemod.net/halide-co-founder-sebastiaan-de-with-joins-apples-design-team.html")</f>
        <v>https://www.iphonemod.net/halide-co-founder-sebastiaan-de-with-joins-apples-design-team.html</v>
      </c>
      <c r="M320" t="inlineStr">
        <is>
          <t>1</t>
        </is>
      </c>
      <c r="N320" t="inlineStr">
        <is>
          <t>Apple</t>
        </is>
      </c>
      <c r="O320"/>
    </row>
    <row r="321" ht="12.75" customHeight="1">
      <c r="A321" t="inlineStr">
        <is>
          <t>Apple เปิดตัว Pixelmator Pro บน iPad พร้อมรองรับ Apple Pencil และฟีเจอร์ครบเท่า Mac</t>
        </is>
      </c>
      <c r="B321" t="inlineStr">
        <is>
          <t>Sasithakan Sritonthip</t>
        </is>
      </c>
      <c r="C321" s="2">
        <v>46051</v>
      </c>
      <c r="D321" s="2">
        <v>46051</v>
      </c>
      <c r="E321" t="inlineStr">
        <is>
          <t>ปกติ</t>
        </is>
      </c>
      <c r="F321" s="3" t="str">
        <f>=HYPERLINK("https://www.macrumors.com/2026/01/28/pixelmator-pro-launches-on-ipad/", "https://www.macrumors.com/2026/01/28/pixelmator-pro-launches-on-ipad/")</f>
        <v>https://www.macrumors.com/2026/01/28/pixelmator-pro-launches-on-ipad/</v>
      </c>
      <c r="G321"/>
      <c r="H321" t="inlineStr">
        <is>
          <t>Website</t>
        </is>
      </c>
      <c r="I321" t="inlineStr">
        <is>
          <t>งานประจำวัน</t>
        </is>
      </c>
      <c r="J321" t="inlineStr">
        <is>
          <t>Done</t>
        </is>
      </c>
      <c r="K321"/>
      <c r="L321" s="3"/>
      <c r="M321" t="inlineStr">
        <is>
          <t>1</t>
        </is>
      </c>
      <c r="N321" t="inlineStr">
        <is>
          <t>Apple</t>
        </is>
      </c>
      <c r="O321"/>
    </row>
    <row r="322" ht="12.75" customHeight="1">
      <c r="A322" t="inlineStr">
        <is>
          <t>เผยภาพที่ชาร์จไร้สาย 25W รุ่นใหม่จาก Samsung</t>
        </is>
      </c>
      <c r="B322" t="inlineStr">
        <is>
          <t>Saktaphat Kordjan</t>
        </is>
      </c>
      <c r="C322" s="2">
        <v>46051</v>
      </c>
      <c r="D322" s="2">
        <v>46051</v>
      </c>
      <c r="E322"/>
      <c r="F322" s="3"/>
      <c r="G322"/>
      <c r="H322" t="inlineStr">
        <is>
          <t>Website</t>
        </is>
      </c>
      <c r="I322" t="inlineStr">
        <is>
          <t>งานประจำวัน</t>
        </is>
      </c>
      <c r="J322" t="inlineStr">
        <is>
          <t>Done</t>
        </is>
      </c>
      <c r="K322"/>
      <c r="L322" s="3"/>
      <c r="M322" t="inlineStr">
        <is>
          <t>1</t>
        </is>
      </c>
      <c r="N322" t="inlineStr">
        <is>
          <t>Android</t>
        </is>
      </c>
      <c r="O322"/>
    </row>
    <row r="323" ht="12.75" customHeight="1">
      <c r="A323" t="inlineStr">
        <is>
          <t>Tomb Raider smartphone</t>
        </is>
      </c>
      <c r="B323" t="inlineStr">
        <is>
          <t>Saktaphat Kordjan</t>
        </is>
      </c>
      <c r="C323" s="2">
        <v>46051</v>
      </c>
      <c r="D323" s="2">
        <v>46051</v>
      </c>
      <c r="E323"/>
      <c r="F323" s="3"/>
      <c r="G323"/>
      <c r="H323" t="inlineStr">
        <is>
          <t>Pic Posts / Album</t>
        </is>
      </c>
      <c r="I323" t="inlineStr">
        <is>
          <t>เสนอไอเดีย</t>
        </is>
      </c>
      <c r="J323" t="inlineStr">
        <is>
          <t>Done</t>
        </is>
      </c>
      <c r="K323"/>
      <c r="L323" s="3"/>
      <c r="M323" t="inlineStr">
        <is>
          <t>1</t>
        </is>
      </c>
      <c r="N323" t="inlineStr">
        <is>
          <t>ทั่วไป</t>
        </is>
      </c>
      <c r="O323"/>
    </row>
    <row r="324" ht="12.75" customHeight="1">
      <c r="A324" t="inlineStr">
        <is>
          <t xml:space="preserve">Macbook Air ก็เล่นเกมได้ </t>
        </is>
      </c>
      <c r="B324" t="inlineStr">
        <is>
          <t>Saktaphat Kordjan</t>
        </is>
      </c>
      <c r="C324" s="2">
        <v>46051</v>
      </c>
      <c r="D324" s="2">
        <v>46051</v>
      </c>
      <c r="E324"/>
      <c r="F324" s="3"/>
      <c r="G324"/>
      <c r="H324" t="inlineStr">
        <is>
          <t>YouTube</t>
        </is>
      </c>
      <c r="I324" t="inlineStr">
        <is>
          <t>เสนอไอเดีย</t>
        </is>
      </c>
      <c r="J324" t="inlineStr">
        <is>
          <t>Done</t>
        </is>
      </c>
      <c r="K324"/>
      <c r="L324" s="3"/>
      <c r="M324" t="inlineStr">
        <is>
          <t>1</t>
        </is>
      </c>
      <c r="N324" t="inlineStr">
        <is>
          <t>Apple</t>
        </is>
      </c>
      <c r="O324"/>
    </row>
    <row r="325" ht="12.75" customHeight="1">
      <c r="A325" t="inlineStr">
        <is>
          <t>Nvidia แซง Apple ขึ้นเป็นลูกค้ารายใหญ่ที่สุดของ TSMC</t>
        </is>
      </c>
      <c r="B325" t="inlineStr">
        <is>
          <t>Sasithakan Sritonthip</t>
        </is>
      </c>
      <c r="C325" s="2">
        <v>46051</v>
      </c>
      <c r="D325" s="2">
        <v>46051</v>
      </c>
      <c r="E325" t="inlineStr">
        <is>
          <t>ปกติ</t>
        </is>
      </c>
      <c r="F325" s="3" t="str">
        <f>=HYPERLINK("https://www.macrumors.com/2026/01/28/nvidia-replaces-apple-as-biggest-tsmc-customer/", "https://www.macrumors.com/2026/01/28/nvidia-replaces-apple-as-biggest-tsmc-customer/")</f>
        <v>https://www.macrumors.com/2026/01/28/nvidia-replaces-apple-as-biggest-tsmc-customer/</v>
      </c>
      <c r="G325"/>
      <c r="H325" t="inlineStr">
        <is>
          <t>Website</t>
        </is>
      </c>
      <c r="I325" t="inlineStr">
        <is>
          <t>งานประจำวัน</t>
        </is>
      </c>
      <c r="J325" t="inlineStr">
        <is>
          <t>Done</t>
        </is>
      </c>
      <c r="K325"/>
      <c r="L325" s="3" t="str">
        <f>=HYPERLINK("https://www.iphonemod.net/nvidia-overtakes-apple-as-tsmcs-biggest-customer.html", "https://www.iphonemod.net/nvidia-overtakes-apple-as-tsmcs-biggest-customer.html")</f>
        <v>https://www.iphonemod.net/nvidia-overtakes-apple-as-tsmcs-biggest-customer.html</v>
      </c>
      <c r="M325" t="inlineStr">
        <is>
          <t>1</t>
        </is>
      </c>
      <c r="N325" t="inlineStr">
        <is>
          <t>Tech, Apple</t>
        </is>
      </c>
      <c r="O325"/>
    </row>
    <row r="326" ht="12.75" customHeight="1">
      <c r="A326" t="inlineStr">
        <is>
          <t xml:space="preserve">Garena ROV </t>
        </is>
      </c>
      <c r="B326" t="inlineStr">
        <is>
          <t>Saktaphat Kordjan</t>
        </is>
      </c>
      <c r="C326" s="2">
        <v>46051</v>
      </c>
      <c r="D326" s="2">
        <v>46051</v>
      </c>
      <c r="E326"/>
      <c r="F326" s="3"/>
      <c r="G326"/>
      <c r="H326" t="inlineStr">
        <is>
          <t>Website</t>
        </is>
      </c>
      <c r="I326" t="inlineStr">
        <is>
          <t>งานประจำวัน</t>
        </is>
      </c>
      <c r="J326" t="inlineStr">
        <is>
          <t>Done</t>
        </is>
      </c>
      <c r="K326"/>
      <c r="L326" s="3"/>
      <c r="M326" t="inlineStr">
        <is>
          <t>1</t>
        </is>
      </c>
      <c r="N326" t="inlineStr">
        <is>
          <t>PR</t>
        </is>
      </c>
      <c r="O326"/>
    </row>
    <row r="327" ht="12.75" customHeight="1">
      <c r="A327" t="inlineStr">
        <is>
          <t>Nothing Phone (4a) Pro จะมีแบตเยอะขึ้น เตรียมเปิดตัวเร็วๆ นี้</t>
        </is>
      </c>
      <c r="B327" t="inlineStr">
        <is>
          <t>Saktaphat Kordjan</t>
        </is>
      </c>
      <c r="C327" s="2">
        <v>46051</v>
      </c>
      <c r="D327" s="2">
        <v>46051</v>
      </c>
      <c r="E327"/>
      <c r="F327" s="3"/>
      <c r="G327"/>
      <c r="H327" t="inlineStr">
        <is>
          <t>Website</t>
        </is>
      </c>
      <c r="I327" t="inlineStr">
        <is>
          <t>งานประจำวัน</t>
        </is>
      </c>
      <c r="J327" t="inlineStr">
        <is>
          <t>Done</t>
        </is>
      </c>
      <c r="K327"/>
      <c r="L327" s="3"/>
      <c r="M327" t="inlineStr">
        <is>
          <t>1</t>
        </is>
      </c>
      <c r="N327" t="inlineStr">
        <is>
          <t>Android</t>
        </is>
      </c>
      <c r="O327"/>
    </row>
    <row r="328" ht="12.75" customHeight="1">
      <c r="A328" t="inlineStr">
        <is>
          <t>META เปิด Subscription</t>
        </is>
      </c>
      <c r="B328" t="inlineStr">
        <is>
          <t>Krongkwun  Rithiwong</t>
        </is>
      </c>
      <c r="C328" s="2">
        <v>46050</v>
      </c>
      <c r="D328" s="2">
        <v>46050</v>
      </c>
      <c r="E328" t="inlineStr">
        <is>
          <t>ปกติ</t>
        </is>
      </c>
      <c r="F328" s="3"/>
      <c r="G328"/>
      <c r="H328" t="inlineStr">
        <is>
          <t>Shorts</t>
        </is>
      </c>
      <c r="I328" t="inlineStr">
        <is>
          <t>งานประจำวัน</t>
        </is>
      </c>
      <c r="J328" t="inlineStr">
        <is>
          <t>Done</t>
        </is>
      </c>
      <c r="K328"/>
      <c r="L328" s="3"/>
      <c r="M328" t="inlineStr">
        <is>
          <t>1</t>
        </is>
      </c>
      <c r="N328" t="inlineStr">
        <is>
          <t>ทั่วไป</t>
        </is>
      </c>
      <c r="O328"/>
    </row>
    <row r="329" ht="12.75" customHeight="1">
      <c r="A329" t="inlineStr">
        <is>
          <t>XIAOMI ไส้กรองแต่ละสีต่างกันยังไง</t>
        </is>
      </c>
      <c r="B329" t="inlineStr">
        <is>
          <t>Krongkwun  Rithiwong</t>
        </is>
      </c>
      <c r="C329" s="2">
        <v>46050</v>
      </c>
      <c r="D329" s="2">
        <v>46050</v>
      </c>
      <c r="E329" t="inlineStr">
        <is>
          <t>ปกติ</t>
        </is>
      </c>
      <c r="F329" s="3"/>
      <c r="G329"/>
      <c r="H329" t="inlineStr">
        <is>
          <t>Shorts</t>
        </is>
      </c>
      <c r="I329" t="inlineStr">
        <is>
          <t>งานประจำวัน</t>
        </is>
      </c>
      <c r="J329" t="inlineStr">
        <is>
          <t>To-Do</t>
        </is>
      </c>
      <c r="K329"/>
      <c r="L329" s="3"/>
      <c r="M329" t="inlineStr">
        <is>
          <t>0</t>
        </is>
      </c>
      <c r="N329" t="inlineStr">
        <is>
          <t>Tech</t>
        </is>
      </c>
      <c r="O329"/>
    </row>
    <row r="330" ht="12.75" customHeight="1">
      <c r="A330" t="inlineStr">
        <is>
          <t>Samsung เผยทีเซอร์บอกใบ้ หน้าจอ Privacy</t>
        </is>
      </c>
      <c r="B330" t="inlineStr">
        <is>
          <t>Saktaphat Kordjan</t>
        </is>
      </c>
      <c r="C330" s="2">
        <v>46050</v>
      </c>
      <c r="D330" s="2">
        <v>46050</v>
      </c>
      <c r="E330"/>
      <c r="F330" s="3"/>
      <c r="G330"/>
      <c r="H330" t="inlineStr">
        <is>
          <t>Pic Posts / Album, Website</t>
        </is>
      </c>
      <c r="I330" t="inlineStr">
        <is>
          <t>เสนอไอเดีย</t>
        </is>
      </c>
      <c r="J330" t="inlineStr">
        <is>
          <t>Done</t>
        </is>
      </c>
      <c r="K330"/>
      <c r="L330" s="3"/>
      <c r="M330" t="inlineStr">
        <is>
          <t>1</t>
        </is>
      </c>
      <c r="N330" t="inlineStr">
        <is>
          <t>Android</t>
        </is>
      </c>
      <c r="O330"/>
    </row>
    <row r="331" ht="12.75" customHeight="1">
      <c r="A331" t="inlineStr">
        <is>
          <t>REDMI ยืนยันสเปกสำคัญของ Turbo 5 ก่อนเปิดตัว</t>
        </is>
      </c>
      <c r="B331" t="inlineStr">
        <is>
          <t>Saktaphat Kordjan</t>
        </is>
      </c>
      <c r="C331" s="2">
        <v>46050</v>
      </c>
      <c r="D331" s="2">
        <v>46050</v>
      </c>
      <c r="E331"/>
      <c r="F331" s="3"/>
      <c r="G331"/>
      <c r="H331" t="inlineStr">
        <is>
          <t>Website</t>
        </is>
      </c>
      <c r="I331" t="inlineStr">
        <is>
          <t>งานประจำวัน</t>
        </is>
      </c>
      <c r="J331" t="inlineStr">
        <is>
          <t>Done</t>
        </is>
      </c>
      <c r="K331"/>
      <c r="L331" s="3"/>
      <c r="M331" t="inlineStr">
        <is>
          <t>1</t>
        </is>
      </c>
      <c r="N331" t="inlineStr">
        <is>
          <t>Android</t>
        </is>
      </c>
      <c r="O331"/>
    </row>
    <row r="332" ht="12.75" customHeight="1">
      <c r="A332" t="inlineStr">
        <is>
          <t>(ตัดจากคลิปใหญ่) รวม iPad น่าซื้อ ใน แอป Shopee</t>
        </is>
      </c>
      <c r="B332" t="inlineStr">
        <is>
          <t>Thitirath Kinaret,Sasithakan Sritonthip</t>
        </is>
      </c>
      <c r="C332" s="2">
        <v>46049</v>
      </c>
      <c r="D332" s="2">
        <v>46049</v>
      </c>
      <c r="E332" t="inlineStr">
        <is>
          <t>ปกติ</t>
        </is>
      </c>
      <c r="F332" s="3" t="str">
        <f>=HYPERLINK("https://www.youtube.com/watch?v=fOkRYazeN_8", "https://www.youtube.com/watch?v=fOkRYazeN_8")</f>
        <v>https://www.youtube.com/watch?v=fOkRYazeN_8</v>
      </c>
      <c r="G332"/>
      <c r="H332" t="inlineStr">
        <is>
          <t>Shorts</t>
        </is>
      </c>
      <c r="I332" t="inlineStr">
        <is>
          <t>งานประจำวัน</t>
        </is>
      </c>
      <c r="J332" t="inlineStr">
        <is>
          <t>Done</t>
        </is>
      </c>
      <c r="K332"/>
      <c r="L332" s="3"/>
      <c r="M332" t="inlineStr">
        <is>
          <t>1</t>
        </is>
      </c>
      <c r="N332" t="inlineStr">
        <is>
          <t>Apple</t>
        </is>
      </c>
      <c r="O332"/>
    </row>
    <row r="333" ht="12.75" customHeight="1">
      <c r="A333" t="inlineStr">
        <is>
          <t xml:space="preserve">เปิดตัวสาย Apple Watch  รุ่น Black Unity </t>
        </is>
      </c>
      <c r="B333" t="inlineStr">
        <is>
          <t>Nattida Suriyodara</t>
        </is>
      </c>
      <c r="C333" s="2">
        <v>46049</v>
      </c>
      <c r="D333" s="2">
        <v>46049</v>
      </c>
      <c r="E333"/>
      <c r="F333" s="3"/>
      <c r="G333"/>
      <c r="H333" t="inlineStr">
        <is>
          <t>Shorts</t>
        </is>
      </c>
      <c r="I333" t="inlineStr">
        <is>
          <t>งานประจำวัน</t>
        </is>
      </c>
      <c r="J333" t="inlineStr">
        <is>
          <t>Done</t>
        </is>
      </c>
      <c r="K333"/>
      <c r="L333" s="3"/>
      <c r="M333" t="inlineStr">
        <is>
          <t>1</t>
        </is>
      </c>
      <c r="N333" t="inlineStr">
        <is>
          <t>Apple</t>
        </is>
      </c>
      <c r="O333"/>
    </row>
    <row r="334" ht="12.75" customHeight="1">
      <c r="A334" t="inlineStr">
        <is>
          <t>ตำรวจเกาหลีใต้-bitcoin</t>
        </is>
      </c>
      <c r="B334" t="inlineStr">
        <is>
          <t>Nattida Suriyodara</t>
        </is>
      </c>
      <c r="C334" s="2">
        <v>46049</v>
      </c>
      <c r="D334" s="2">
        <v>46049</v>
      </c>
      <c r="E334"/>
      <c r="F334" s="3"/>
      <c r="G334"/>
      <c r="H334" t="inlineStr">
        <is>
          <t>Shorts</t>
        </is>
      </c>
      <c r="I334" t="inlineStr">
        <is>
          <t>งานประจำวัน</t>
        </is>
      </c>
      <c r="J334" t="inlineStr">
        <is>
          <t>Done</t>
        </is>
      </c>
      <c r="K334"/>
      <c r="L334" s="3"/>
      <c r="M334" t="inlineStr">
        <is>
          <t>1</t>
        </is>
      </c>
      <c r="N334" t="inlineStr">
        <is>
          <t>ทั่วไป</t>
        </is>
      </c>
      <c r="O334"/>
    </row>
    <row r="335" ht="12.75" customHeight="1">
      <c r="A335" t="inlineStr">
        <is>
          <t>iPadOS 26.3 beta 3</t>
        </is>
      </c>
      <c r="B335" t="inlineStr">
        <is>
          <t>Nattida Suriyodara</t>
        </is>
      </c>
      <c r="C335" s="2">
        <v>46049</v>
      </c>
      <c r="D335" s="2">
        <v>46049</v>
      </c>
      <c r="E335"/>
      <c r="F335" s="3"/>
      <c r="G335"/>
      <c r="H335" t="inlineStr">
        <is>
          <t>Pic Posts / Album</t>
        </is>
      </c>
      <c r="I335" t="inlineStr">
        <is>
          <t>งานประจำวัน</t>
        </is>
      </c>
      <c r="J335" t="inlineStr">
        <is>
          <t>Done</t>
        </is>
      </c>
      <c r="K335"/>
      <c r="L335" s="3"/>
      <c r="M335" t="inlineStr">
        <is>
          <t>1</t>
        </is>
      </c>
      <c r="N335" t="inlineStr">
        <is>
          <t>Apple</t>
        </is>
      </c>
      <c r="O335"/>
    </row>
    <row r="336" ht="12.75" customHeight="1">
      <c r="A336" t="inlineStr">
        <is>
          <t>OpenAI ใส่โฆษณาใน ChatGPT</t>
        </is>
      </c>
      <c r="B336" t="inlineStr">
        <is>
          <t>Krongkwun  Rithiwong</t>
        </is>
      </c>
      <c r="C336" s="2">
        <v>46049</v>
      </c>
      <c r="D336" s="2">
        <v>46049</v>
      </c>
      <c r="E336" t="inlineStr">
        <is>
          <t>ปกติ</t>
        </is>
      </c>
      <c r="F336" s="3"/>
      <c r="G336"/>
      <c r="H336" t="inlineStr">
        <is>
          <t>Shorts</t>
        </is>
      </c>
      <c r="I336" t="inlineStr">
        <is>
          <t>งานประจำวัน</t>
        </is>
      </c>
      <c r="J336" t="inlineStr">
        <is>
          <t>Done</t>
        </is>
      </c>
      <c r="K336"/>
      <c r="L336" s="3"/>
      <c r="M336" t="inlineStr">
        <is>
          <t>1</t>
        </is>
      </c>
      <c r="N336" t="inlineStr">
        <is>
          <t>AI</t>
        </is>
      </c>
      <c r="O336"/>
    </row>
    <row r="337" ht="12.75" customHeight="1">
      <c r="A337" t="inlineStr">
        <is>
          <t xml:space="preserve">Accuvein </t>
        </is>
      </c>
      <c r="B337" t="inlineStr">
        <is>
          <t>Krongkwun  Rithiwong</t>
        </is>
      </c>
      <c r="C337" s="2">
        <v>46049</v>
      </c>
      <c r="D337" s="2">
        <v>46049</v>
      </c>
      <c r="E337" t="inlineStr">
        <is>
          <t>ปกติ</t>
        </is>
      </c>
      <c r="F337" s="3"/>
      <c r="G337"/>
      <c r="H337" t="inlineStr">
        <is>
          <t>Shorts</t>
        </is>
      </c>
      <c r="I337" t="inlineStr">
        <is>
          <t>งานประจำวัน</t>
        </is>
      </c>
      <c r="J337" t="inlineStr">
        <is>
          <t>Done</t>
        </is>
      </c>
      <c r="K337"/>
      <c r="L337" s="3"/>
      <c r="M337" t="inlineStr">
        <is>
          <t>1</t>
        </is>
      </c>
      <c r="N337" t="inlineStr">
        <is>
          <t>Tech</t>
        </is>
      </c>
      <c r="O337"/>
    </row>
    <row r="338" ht="12.75" customHeight="1">
      <c r="A338" t="inlineStr">
        <is>
          <t>Capsule ยา เตือนคนได้</t>
        </is>
      </c>
      <c r="B338" t="inlineStr">
        <is>
          <t>Krongkwun  Rithiwong</t>
        </is>
      </c>
      <c r="C338" s="2">
        <v>46049</v>
      </c>
      <c r="D338" s="2">
        <v>46049</v>
      </c>
      <c r="E338" t="inlineStr">
        <is>
          <t>ปกติ</t>
        </is>
      </c>
      <c r="F338" s="3"/>
      <c r="G338"/>
      <c r="H338" t="inlineStr">
        <is>
          <t>Shorts</t>
        </is>
      </c>
      <c r="I338" t="inlineStr">
        <is>
          <t>งานประจำวัน</t>
        </is>
      </c>
      <c r="J338" t="inlineStr">
        <is>
          <t>Done</t>
        </is>
      </c>
      <c r="K338"/>
      <c r="L338" s="3"/>
      <c r="M338" t="inlineStr">
        <is>
          <t>1</t>
        </is>
      </c>
      <c r="N338" t="inlineStr">
        <is>
          <t>Tech</t>
        </is>
      </c>
      <c r="O338"/>
    </row>
    <row r="339" ht="12.75" customHeight="1">
      <c r="A339" t="inlineStr">
        <is>
          <t>Sony LinkBuds Clip Open Earbud</t>
        </is>
      </c>
      <c r="B339" t="inlineStr">
        <is>
          <t>Krongkwun  Rithiwong</t>
        </is>
      </c>
      <c r="C339" s="2">
        <v>46049</v>
      </c>
      <c r="D339" s="2">
        <v>46049</v>
      </c>
      <c r="E339" t="inlineStr">
        <is>
          <t>ปกติ</t>
        </is>
      </c>
      <c r="F339" s="3"/>
      <c r="G339"/>
      <c r="H339" t="inlineStr">
        <is>
          <t>Shorts</t>
        </is>
      </c>
      <c r="I339" t="inlineStr">
        <is>
          <t>งานประจำวัน</t>
        </is>
      </c>
      <c r="J339" t="inlineStr">
        <is>
          <t>Done</t>
        </is>
      </c>
      <c r="K339"/>
      <c r="L339" s="3"/>
      <c r="M339" t="inlineStr">
        <is>
          <t>1</t>
        </is>
      </c>
      <c r="N339" t="inlineStr">
        <is>
          <t>Tech</t>
        </is>
      </c>
      <c r="O339"/>
    </row>
    <row r="340" ht="12.75" customHeight="1">
      <c r="A340" t="inlineStr">
        <is>
          <t xml:space="preserve">หุ่นยนต์ตำรวจ AI จากจีน </t>
        </is>
      </c>
      <c r="B340" t="inlineStr">
        <is>
          <t>Krongkwun  Rithiwong</t>
        </is>
      </c>
      <c r="C340" s="2">
        <v>46049</v>
      </c>
      <c r="D340" s="2">
        <v>46049</v>
      </c>
      <c r="E340" t="inlineStr">
        <is>
          <t>ปกติ</t>
        </is>
      </c>
      <c r="F340" s="3"/>
      <c r="G340"/>
      <c r="H340" t="inlineStr">
        <is>
          <t>Shorts</t>
        </is>
      </c>
      <c r="I340" t="inlineStr">
        <is>
          <t>งานประจำวัน</t>
        </is>
      </c>
      <c r="J340" t="inlineStr">
        <is>
          <t>Done</t>
        </is>
      </c>
      <c r="K340"/>
      <c r="L340" s="3"/>
      <c r="M340" t="inlineStr">
        <is>
          <t>1</t>
        </is>
      </c>
      <c r="N340" t="inlineStr">
        <is>
          <t>Tech</t>
        </is>
      </c>
      <c r="O340"/>
    </row>
    <row r="341" ht="12.75" customHeight="1">
      <c r="A341" t="inlineStr">
        <is>
          <t>Galaxy S26 Series Rumor update</t>
        </is>
      </c>
      <c r="B341" t="inlineStr">
        <is>
          <t>Saktaphat Kordjan</t>
        </is>
      </c>
      <c r="C341" s="2">
        <v>46049</v>
      </c>
      <c r="D341" s="2">
        <v>46049</v>
      </c>
      <c r="E341"/>
      <c r="F341" s="3"/>
      <c r="G341"/>
      <c r="H341" t="inlineStr">
        <is>
          <t>YouTube</t>
        </is>
      </c>
      <c r="I341" t="inlineStr">
        <is>
          <t>เสนอไอเดีย</t>
        </is>
      </c>
      <c r="J341" t="inlineStr">
        <is>
          <t>Done</t>
        </is>
      </c>
      <c r="K341"/>
      <c r="L341" s="3"/>
      <c r="M341" t="inlineStr">
        <is>
          <t>1</t>
        </is>
      </c>
      <c r="N341" t="inlineStr">
        <is>
          <t>Android</t>
        </is>
      </c>
      <c r="O341"/>
    </row>
    <row r="342" ht="12.75" customHeight="1">
      <c r="A342" t="inlineStr">
        <is>
          <t>Nothing Phone (4a) ผ่านการรับรองก่อนเปิดตัว</t>
        </is>
      </c>
      <c r="B342" t="inlineStr">
        <is>
          <t>Saktaphat Kordjan</t>
        </is>
      </c>
      <c r="C342" s="2">
        <v>46049</v>
      </c>
      <c r="D342" s="2">
        <v>46049</v>
      </c>
      <c r="E342"/>
      <c r="F342" s="3"/>
      <c r="G342"/>
      <c r="H342" t="inlineStr">
        <is>
          <t>Website</t>
        </is>
      </c>
      <c r="I342" t="inlineStr">
        <is>
          <t>งานประจำวัน</t>
        </is>
      </c>
      <c r="J342" t="inlineStr">
        <is>
          <t>Done</t>
        </is>
      </c>
      <c r="K342"/>
      <c r="L342" s="3"/>
      <c r="M342" t="inlineStr">
        <is>
          <t>1</t>
        </is>
      </c>
      <c r="N342" t="inlineStr">
        <is>
          <t>Android</t>
        </is>
      </c>
      <c r="O342"/>
    </row>
    <row r="343" ht="12.75" customHeight="1">
      <c r="A343" t="inlineStr">
        <is>
          <t>เปิดตัว Galaxy Z Flip7 Olympic Edition ต้อนรับโอลิมปิก 2026</t>
        </is>
      </c>
      <c r="B343" t="inlineStr">
        <is>
          <t>Saktaphat Kordjan</t>
        </is>
      </c>
      <c r="C343" s="2">
        <v>46049</v>
      </c>
      <c r="D343" s="2">
        <v>46049</v>
      </c>
      <c r="E343"/>
      <c r="F343" s="3"/>
      <c r="G343"/>
      <c r="H343" t="inlineStr">
        <is>
          <t>Website</t>
        </is>
      </c>
      <c r="I343" t="inlineStr">
        <is>
          <t>งานประจำวัน</t>
        </is>
      </c>
      <c r="J343" t="inlineStr">
        <is>
          <t>Done</t>
        </is>
      </c>
      <c r="K343"/>
      <c r="L343" s="3"/>
      <c r="M343" t="inlineStr">
        <is>
          <t>1</t>
        </is>
      </c>
      <c r="N343" t="inlineStr">
        <is>
          <t>Android</t>
        </is>
      </c>
      <c r="O343"/>
    </row>
    <row r="344" ht="12.75" customHeight="1">
      <c r="A344" t="inlineStr">
        <is>
          <t>ChatGPT Atlas เพิ่มระบบจัดกลุ่มแท็บ</t>
        </is>
      </c>
      <c r="B344" t="inlineStr">
        <is>
          <t>Nattida Suriyodara</t>
        </is>
      </c>
      <c r="C344" s="2">
        <v>46048</v>
      </c>
      <c r="D344" s="2">
        <v>46048</v>
      </c>
      <c r="E344"/>
      <c r="F344" s="3"/>
      <c r="G344"/>
      <c r="H344" t="inlineStr">
        <is>
          <t>Website</t>
        </is>
      </c>
      <c r="I344" t="inlineStr">
        <is>
          <t>งานประจำวัน</t>
        </is>
      </c>
      <c r="J344" t="inlineStr">
        <is>
          <t>Done</t>
        </is>
      </c>
      <c r="K344"/>
      <c r="L344" s="3"/>
      <c r="M344" t="inlineStr">
        <is>
          <t>1</t>
        </is>
      </c>
      <c r="N344" t="inlineStr">
        <is>
          <t>AI</t>
        </is>
      </c>
      <c r="O344"/>
    </row>
    <row r="345" ht="12.75" customHeight="1">
      <c r="A345" t="inlineStr">
        <is>
          <t xml:space="preserve">ไฟฉาย Apple Watch ให้กรณีฉุกเฉินได้ </t>
        </is>
      </c>
      <c r="B345" t="inlineStr">
        <is>
          <t>Nattida Suriyodara</t>
        </is>
      </c>
      <c r="C345" s="2">
        <v>46048</v>
      </c>
      <c r="D345" s="2">
        <v>46048</v>
      </c>
      <c r="E345"/>
      <c r="F345" s="3"/>
      <c r="G345"/>
      <c r="H345" t="inlineStr">
        <is>
          <t>Shorts</t>
        </is>
      </c>
      <c r="I345" t="inlineStr">
        <is>
          <t>งานประจำวัน</t>
        </is>
      </c>
      <c r="J345" t="inlineStr">
        <is>
          <t>Done</t>
        </is>
      </c>
      <c r="K345"/>
      <c r="L345" s="3"/>
      <c r="M345" t="inlineStr">
        <is>
          <t>1</t>
        </is>
      </c>
      <c r="N345" t="inlineStr">
        <is>
          <t>Apple</t>
        </is>
      </c>
      <c r="O345"/>
    </row>
    <row r="346" ht="12.75" customHeight="1">
      <c r="A346" t="inlineStr">
        <is>
          <t xml:space="preserve">รวมคำถามสมาร์ตโฟน Android </t>
        </is>
      </c>
      <c r="B346" t="inlineStr">
        <is>
          <t>Saktaphat Kordjan</t>
        </is>
      </c>
      <c r="C346" s="2">
        <v>46048</v>
      </c>
      <c r="D346" s="2">
        <v>46048</v>
      </c>
      <c r="E346"/>
      <c r="F346" s="3"/>
      <c r="G346"/>
      <c r="H346" t="inlineStr">
        <is>
          <t>YouTube</t>
        </is>
      </c>
      <c r="I346" t="inlineStr">
        <is>
          <t>เสนอไอเดีย</t>
        </is>
      </c>
      <c r="J346" t="inlineStr">
        <is>
          <t>Done</t>
        </is>
      </c>
      <c r="K346"/>
      <c r="L346" s="3"/>
      <c r="M346" t="inlineStr">
        <is>
          <t>1</t>
        </is>
      </c>
      <c r="N346" t="inlineStr">
        <is>
          <t>Android</t>
        </is>
      </c>
      <c r="O346"/>
    </row>
    <row r="347" ht="12.75" customHeight="1">
      <c r="A347" t="inlineStr">
        <is>
          <t>Redmi กำหนดวันเปิดตัว Turbo 5 และ Turbo 5 Max ในจีน</t>
        </is>
      </c>
      <c r="B347" t="inlineStr">
        <is>
          <t>Saktaphat Kordjan</t>
        </is>
      </c>
      <c r="C347" s="2">
        <v>46048</v>
      </c>
      <c r="D347" s="2">
        <v>46048</v>
      </c>
      <c r="E347"/>
      <c r="F347" s="3"/>
      <c r="G347"/>
      <c r="H347" t="inlineStr">
        <is>
          <t>Website</t>
        </is>
      </c>
      <c r="I347" t="inlineStr">
        <is>
          <t>งานประจำวัน</t>
        </is>
      </c>
      <c r="J347" t="inlineStr">
        <is>
          <t>Done</t>
        </is>
      </c>
      <c r="K347"/>
      <c r="L347" s="3"/>
      <c r="M347" t="inlineStr">
        <is>
          <t>1</t>
        </is>
      </c>
      <c r="N347" t="inlineStr">
        <is>
          <t>Android</t>
        </is>
      </c>
      <c r="O347"/>
    </row>
    <row r="348" ht="12.75" customHeight="1">
      <c r="A348" t="inlineStr">
        <is>
          <t>แบตเตอรี่ Magsafe iPhone Air</t>
        </is>
      </c>
      <c r="B348" t="inlineStr">
        <is>
          <t>Saktaphat Kordjan</t>
        </is>
      </c>
      <c r="C348" s="2">
        <v>46048</v>
      </c>
      <c r="D348" s="2">
        <v>46049</v>
      </c>
      <c r="E348"/>
      <c r="F348" s="3"/>
      <c r="G348"/>
      <c r="H348" t="inlineStr">
        <is>
          <t>YouTube</t>
        </is>
      </c>
      <c r="I348" t="inlineStr">
        <is>
          <t>งานลูกค้า</t>
        </is>
      </c>
      <c r="J348" t="inlineStr">
        <is>
          <t>Done</t>
        </is>
      </c>
      <c r="K348"/>
      <c r="L348" s="3"/>
      <c r="M348" t="inlineStr">
        <is>
          <t>1</t>
        </is>
      </c>
      <c r="N348" t="inlineStr">
        <is>
          <t>Apple</t>
        </is>
      </c>
      <c r="O348" t="inlineStr">
        <is>
          <t>Apple</t>
        </is>
      </c>
    </row>
    <row r="349" ht="12.75" customHeight="1">
      <c r="A349" t="inlineStr">
        <is>
          <t>(ตัดจากคลิปใหญ่) รวม iPhone น่าซื้อ ใน แอป Shopee</t>
        </is>
      </c>
      <c r="B349" t="inlineStr">
        <is>
          <t>Thitirath Kinaret,Sasithakan Sritonthip</t>
        </is>
      </c>
      <c r="C349" s="2">
        <v>46048</v>
      </c>
      <c r="D349" s="2">
        <v>46048</v>
      </c>
      <c r="E349" t="inlineStr">
        <is>
          <t>ปกติ</t>
        </is>
      </c>
      <c r="F349" s="3" t="str">
        <f>=HYPERLINK("https://www.youtube.com/watch?v=fOkRYazeN_8", "https://www.youtube.com/watch?v=fOkRYazeN_8")</f>
        <v>https://www.youtube.com/watch?v=fOkRYazeN_8</v>
      </c>
      <c r="G349"/>
      <c r="H349" t="inlineStr">
        <is>
          <t>Shorts</t>
        </is>
      </c>
      <c r="I349" t="inlineStr">
        <is>
          <t>งานประจำวัน</t>
        </is>
      </c>
      <c r="J349" t="inlineStr">
        <is>
          <t>Done</t>
        </is>
      </c>
      <c r="K349"/>
      <c r="L349" s="3"/>
      <c r="M349" t="inlineStr">
        <is>
          <t>1</t>
        </is>
      </c>
      <c r="N349" t="inlineStr">
        <is>
          <t>Apple</t>
        </is>
      </c>
      <c r="O349"/>
    </row>
    <row r="350" ht="12.75" customHeight="1">
      <c r="A350" t="inlineStr">
        <is>
          <t>TikTok เปลี่ยนโครงสร้างผู้ถือหุ้นใหม่ สัดส่วนใหญ่เป็นของนักลงทุนสหรัฐฯ</t>
        </is>
      </c>
      <c r="B350" t="inlineStr">
        <is>
          <t>Saktaphat Kordjan</t>
        </is>
      </c>
      <c r="C350" s="2">
        <v>46047</v>
      </c>
      <c r="D350" s="2">
        <v>46047</v>
      </c>
      <c r="E350"/>
      <c r="F350" s="3"/>
      <c r="G350"/>
      <c r="H350" t="inlineStr">
        <is>
          <t>Website</t>
        </is>
      </c>
      <c r="I350" t="inlineStr">
        <is>
          <t>งานประจำวัน</t>
        </is>
      </c>
      <c r="J350" t="inlineStr">
        <is>
          <t>Done</t>
        </is>
      </c>
      <c r="K350"/>
      <c r="L350" s="3"/>
      <c r="M350" t="inlineStr">
        <is>
          <t>1</t>
        </is>
      </c>
      <c r="N350" t="inlineStr">
        <is>
          <t>ทั่วไป</t>
        </is>
      </c>
      <c r="O350"/>
    </row>
    <row r="351" ht="12.75" customHeight="1">
      <c r="A351" t="inlineStr">
        <is>
          <t xml:space="preserve">Apple ปรับกลยุทธ์ AI ครั้งใหญ่ </t>
        </is>
      </c>
      <c r="B351" t="inlineStr">
        <is>
          <t>Nattida Suriyodara</t>
        </is>
      </c>
      <c r="C351" s="2">
        <v>46045</v>
      </c>
      <c r="D351" s="2">
        <v>46045</v>
      </c>
      <c r="E351"/>
      <c r="F351" s="3"/>
      <c r="G351"/>
      <c r="H351" t="inlineStr">
        <is>
          <t>Shorts</t>
        </is>
      </c>
      <c r="I351" t="inlineStr">
        <is>
          <t>งานประจำวัน</t>
        </is>
      </c>
      <c r="J351" t="inlineStr">
        <is>
          <t>Done</t>
        </is>
      </c>
      <c r="K351"/>
      <c r="L351" s="3"/>
      <c r="M351" t="inlineStr">
        <is>
          <t>1</t>
        </is>
      </c>
      <c r="N351" t="inlineStr">
        <is>
          <t>AI, Apple</t>
        </is>
      </c>
      <c r="O351"/>
    </row>
    <row r="352" ht="12.75" customHeight="1">
      <c r="A352" t="inlineStr">
        <is>
          <t>Siri‌ Chatbot เตรียมเปิดตัวใน iOS 27</t>
        </is>
      </c>
      <c r="B352" t="inlineStr">
        <is>
          <t>Nattida Suriyodara</t>
        </is>
      </c>
      <c r="C352" s="2">
        <v>46045</v>
      </c>
      <c r="D352" s="2">
        <v>46045</v>
      </c>
      <c r="E352"/>
      <c r="F352" s="3"/>
      <c r="G352"/>
      <c r="H352" t="inlineStr">
        <is>
          <t>Shorts</t>
        </is>
      </c>
      <c r="I352" t="inlineStr">
        <is>
          <t>งานประจำวัน</t>
        </is>
      </c>
      <c r="J352" t="inlineStr">
        <is>
          <t>Done</t>
        </is>
      </c>
      <c r="K352"/>
      <c r="L352" s="3"/>
      <c r="M352" t="inlineStr">
        <is>
          <t>1</t>
        </is>
      </c>
      <c r="N352" t="inlineStr">
        <is>
          <t>Apple, AI</t>
        </is>
      </c>
      <c r="O352"/>
    </row>
    <row r="353" ht="12.75" customHeight="1">
      <c r="A353" t="inlineStr">
        <is>
          <t>รวม 5 ปากกา Stylus ที่สามารถใช้งานกับ iPad ได้</t>
        </is>
      </c>
      <c r="B353" t="inlineStr">
        <is>
          <t>Krongkwun  Rithiwong,Sasithakan Sritonthip</t>
        </is>
      </c>
      <c r="C353" s="2">
        <v>46045</v>
      </c>
      <c r="D353" s="2">
        <v>46045</v>
      </c>
      <c r="E353" t="inlineStr">
        <is>
          <t>ปกติ</t>
        </is>
      </c>
      <c r="F353" s="3" t="str">
        <f>=HYPERLINK("https://docs.google.com/document/d/143ZHB8ES4tvPedpB4wYGAtFxmehs83s-JpZJkOyhagE/edit?tab=t.0", "https://docs.google.com/document/d/143ZHB8ES4tvPedpB4wYGAtFxmehs83s-JpZJkOyhagE/edit?tab=t.0")</f>
        <v>https://docs.google.com/document/d/143ZHB8ES4tvPedpB4wYGAtFxmehs83s-JpZJkOyhagE/edit?tab=t.0</v>
      </c>
      <c r="G353"/>
      <c r="H353" t="inlineStr">
        <is>
          <t>YouTube</t>
        </is>
      </c>
      <c r="I353" t="inlineStr">
        <is>
          <t>งานประจำวัน</t>
        </is>
      </c>
      <c r="J353" t="inlineStr">
        <is>
          <t>Done</t>
        </is>
      </c>
      <c r="K353"/>
      <c r="L353" s="3"/>
      <c r="M353" t="inlineStr">
        <is>
          <t>1</t>
        </is>
      </c>
      <c r="N353" t="inlineStr">
        <is>
          <t>Apple, Tech</t>
        </is>
      </c>
      <c r="O353"/>
    </row>
    <row r="354" ht="12.75" customHeight="1">
      <c r="A354" t="inlineStr">
        <is>
          <t>Google Photos เตรียมเปิดตัวฟีเจอร์ "Me Meme" สร้างมีมด้วย AI</t>
        </is>
      </c>
      <c r="B354" t="inlineStr">
        <is>
          <t>Sasithakan Sritonthip</t>
        </is>
      </c>
      <c r="C354" s="2">
        <v>46045</v>
      </c>
      <c r="D354" s="2">
        <v>46045</v>
      </c>
      <c r="E354" t="inlineStr">
        <is>
          <t>ปกติ</t>
        </is>
      </c>
      <c r="F354" s="3" t="str">
        <f>=HYPERLINK("https://9to5google.com/2026/01/22/google-photos-me-meme/", "https://9to5google.com/2026/01/22/google-photos-me-meme/")</f>
        <v>https://9to5google.com/2026/01/22/google-photos-me-meme/</v>
      </c>
      <c r="G354"/>
      <c r="H354" t="inlineStr">
        <is>
          <t>Website</t>
        </is>
      </c>
      <c r="I354" t="inlineStr">
        <is>
          <t>งานประจำวัน</t>
        </is>
      </c>
      <c r="J354" t="inlineStr">
        <is>
          <t>Done</t>
        </is>
      </c>
      <c r="K354"/>
      <c r="L354" s="3" t="str">
        <f>=HYPERLINK("https://www.iphonemod.net/google-photos-rolling-out-ai-powered-me-meme-generator.html", "https://www.iphonemod.net/google-photos-rolling-out-ai-powered-me-meme-generator.html")</f>
        <v>https://www.iphonemod.net/google-photos-rolling-out-ai-powered-me-meme-generator.html</v>
      </c>
      <c r="M354" t="inlineStr">
        <is>
          <t>1</t>
        </is>
      </c>
      <c r="N354" t="inlineStr">
        <is>
          <t>Apple</t>
        </is>
      </c>
      <c r="O354"/>
    </row>
    <row r="355" ht="12.75" customHeight="1">
      <c r="A355" t="inlineStr">
        <is>
          <t>Huawei Mated 12X (Insert&amp;Support)</t>
        </is>
      </c>
      <c r="B355" t="inlineStr">
        <is>
          <t>Saktaphat Kordjan</t>
        </is>
      </c>
      <c r="C355" s="2">
        <v>46045</v>
      </c>
      <c r="D355" s="2">
        <v>46045</v>
      </c>
      <c r="E355"/>
      <c r="F355" s="3"/>
      <c r="G355"/>
      <c r="H355" t="inlineStr">
        <is>
          <t>YouTube</t>
        </is>
      </c>
      <c r="I355" t="inlineStr">
        <is>
          <t>งานลูกค้า</t>
        </is>
      </c>
      <c r="J355" t="inlineStr">
        <is>
          <t>Done</t>
        </is>
      </c>
      <c r="K355"/>
      <c r="L355" s="3"/>
      <c r="M355" t="inlineStr">
        <is>
          <t>1</t>
        </is>
      </c>
      <c r="N355" t="inlineStr">
        <is>
          <t>Android</t>
        </is>
      </c>
      <c r="O355" t="inlineStr">
        <is>
          <t>Huawei</t>
        </is>
      </c>
    </row>
    <row r="356" ht="12.75" customHeight="1">
      <c r="A356" t="inlineStr">
        <is>
          <t>Samsung ยอมรับผิดชอบต่อเหตุ S25 Plus ระเบิด (อัปเดต)</t>
        </is>
      </c>
      <c r="B356" t="inlineStr">
        <is>
          <t>Saktaphat Kordjan</t>
        </is>
      </c>
      <c r="C356" s="2">
        <v>46045</v>
      </c>
      <c r="D356" s="2">
        <v>46045</v>
      </c>
      <c r="E356"/>
      <c r="F356" s="3"/>
      <c r="G356"/>
      <c r="H356" t="inlineStr">
        <is>
          <t>Pic Posts / Album, Website</t>
        </is>
      </c>
      <c r="I356" t="inlineStr">
        <is>
          <t>งานประจำวัน</t>
        </is>
      </c>
      <c r="J356" t="inlineStr">
        <is>
          <t>Done</t>
        </is>
      </c>
      <c r="K356"/>
      <c r="L356" s="3"/>
      <c r="M356" t="inlineStr">
        <is>
          <t>1</t>
        </is>
      </c>
      <c r="N356" t="inlineStr">
        <is>
          <t>Android</t>
        </is>
      </c>
      <c r="O356"/>
    </row>
    <row r="357" ht="12.75" customHeight="1">
      <c r="A357" t="inlineStr">
        <is>
          <t>1Password เปิดตัว ฟีเจอร์เตือนภัยออนไลน์ Phishing เมื่อผู้ใช้คัดลอกรหัสผ่านไปวางบนเว็ปไซต์</t>
        </is>
      </c>
      <c r="B357" t="inlineStr">
        <is>
          <t>Sasithakan Sritonthip</t>
        </is>
      </c>
      <c r="C357" s="2">
        <v>46045</v>
      </c>
      <c r="D357" s="2">
        <v>46045</v>
      </c>
      <c r="E357" t="inlineStr">
        <is>
          <t>ปกติ</t>
        </is>
      </c>
      <c r="F357" s="3" t="str">
        <f>=HYPERLINK("https://www.macrumors.com/2026/01/22/1password-phishing-warning/", "https://www.macrumors.com/2026/01/22/1password-phishing-warning/")</f>
        <v>https://www.macrumors.com/2026/01/22/1password-phishing-warning/</v>
      </c>
      <c r="G357"/>
      <c r="H357" t="inlineStr">
        <is>
          <t>Website</t>
        </is>
      </c>
      <c r="I357" t="inlineStr">
        <is>
          <t>งานประจำวัน</t>
        </is>
      </c>
      <c r="J357" t="inlineStr">
        <is>
          <t>Done</t>
        </is>
      </c>
      <c r="K357"/>
      <c r="L357" s="3" t="str">
        <f>=HYPERLINK("https://www.iphonemod.net/1password-launches-anti-phishing-warnings-for-pasted-passwords.html", "https://www.iphonemod.net/1password-launches-anti-phishing-warnings-for-pasted-passwords.html")</f>
        <v>https://www.iphonemod.net/1password-launches-anti-phishing-warnings-for-pasted-passwords.html</v>
      </c>
      <c r="M357" t="inlineStr">
        <is>
          <t>1</t>
        </is>
      </c>
      <c r="N357" t="inlineStr">
        <is>
          <t>Tech</t>
        </is>
      </c>
      <c r="O357"/>
    </row>
    <row r="358" ht="12.75" customHeight="1">
      <c r="A358" t="inlineStr">
        <is>
          <t>Sony เปิดตัวหูฟังไร้สายแบบเปิดใหม่ LinkBuds Clip รุ่นใหม่</t>
        </is>
      </c>
      <c r="B358" t="inlineStr">
        <is>
          <t>Sasithakan Sritonthip</t>
        </is>
      </c>
      <c r="C358" s="2">
        <v>46045</v>
      </c>
      <c r="D358" s="2">
        <v>46045</v>
      </c>
      <c r="E358" t="inlineStr">
        <is>
          <t>ปกติ</t>
        </is>
      </c>
      <c r="F358" s="3" t="str">
        <f>=HYPERLINK("https://9to5toys.com/2026/01/21/sony-debuts-new-linkbuds-clip-truly-wireless-open-earbuds/", "https://9to5toys.com/2026/01/21/sony-debuts-new-linkbuds-clip-truly-wireless-open-earbuds/")</f>
        <v>https://9to5toys.com/2026/01/21/sony-debuts-new-linkbuds-clip-truly-wireless-open-earbuds/</v>
      </c>
      <c r="G358"/>
      <c r="H358" t="inlineStr">
        <is>
          <t>Website</t>
        </is>
      </c>
      <c r="I358" t="inlineStr">
        <is>
          <t>งานประจำวัน</t>
        </is>
      </c>
      <c r="J358" t="inlineStr">
        <is>
          <t>Done</t>
        </is>
      </c>
      <c r="K358"/>
      <c r="L358" s="3" t="str">
        <f>=HYPERLINK("https://www.iphonemod.net/sony-debuts-next-gen-open-earbuds-w-new-sound-leakage-tech-and-ai-noise-reduction.html", "https://www.iphonemod.net/sony-debuts-next-gen-open-earbuds-w-new-sound-leakage-tech-and-ai-noise-reduction.html")</f>
        <v>https://www.iphonemod.net/sony-debuts-next-gen-open-earbuds-w-new-sound-leakage-tech-and-ai-noise-reduction.html</v>
      </c>
      <c r="M358" t="inlineStr">
        <is>
          <t>1</t>
        </is>
      </c>
      <c r="N358" t="inlineStr">
        <is>
          <t>Tech</t>
        </is>
      </c>
      <c r="O358"/>
    </row>
    <row r="359" ht="12.75" customHeight="1">
      <c r="A359" t="inlineStr">
        <is>
          <t>Sony เปิดตัวคอนโทรลเลอร์ DualSense รุ่นลิมิเต็ดจากเกม Marathon</t>
        </is>
      </c>
      <c r="B359" t="inlineStr">
        <is>
          <t>Sasithakan Sritonthip</t>
        </is>
      </c>
      <c r="C359" s="2">
        <v>46045</v>
      </c>
      <c r="D359" s="2">
        <v>46045</v>
      </c>
      <c r="E359"/>
      <c r="F359" s="3" t="str">
        <f>=HYPERLINK("https://9to5toys.com/2026/01/20/sony-reveals-new-futuristic-marathon-limited-edition-dualsense-gamepad/", "https://9to5toys.com/2026/01/20/sony-reveals-new-futuristic-marathon-limited-edition-dualsense-gamepad/")</f>
        <v>https://9to5toys.com/2026/01/20/sony-reveals-new-futuristic-marathon-limited-edition-dualsense-gamepad/</v>
      </c>
      <c r="G359"/>
      <c r="H359" t="inlineStr">
        <is>
          <t>Website</t>
        </is>
      </c>
      <c r="I359" t="inlineStr">
        <is>
          <t>งานประจำวัน</t>
        </is>
      </c>
      <c r="J359" t="inlineStr">
        <is>
          <t>Done</t>
        </is>
      </c>
      <c r="K359"/>
      <c r="L359" s="3"/>
      <c r="M359" t="inlineStr">
        <is>
          <t>1</t>
        </is>
      </c>
      <c r="N359" t="inlineStr">
        <is>
          <t>Tech</t>
        </is>
      </c>
      <c r="O359"/>
    </row>
    <row r="360" ht="12.75" customHeight="1">
      <c r="A360" t="inlineStr">
        <is>
          <t>การปฏิวัติพลังงานหมุนเวียนของจีนคือความโกลาหลครั้งใหญ่</t>
        </is>
      </c>
      <c r="B360" t="inlineStr">
        <is>
          <t>Saktaphat Kordjan</t>
        </is>
      </c>
      <c r="C360" s="2">
        <v>46045</v>
      </c>
      <c r="D360" s="2">
        <v>46045</v>
      </c>
      <c r="E360"/>
      <c r="F360" s="3"/>
      <c r="G360"/>
      <c r="H360" t="inlineStr">
        <is>
          <t>Pic Posts / Album, Website</t>
        </is>
      </c>
      <c r="I360" t="inlineStr">
        <is>
          <t>เสนอไอเดีย</t>
        </is>
      </c>
      <c r="J360" t="inlineStr">
        <is>
          <t>Done</t>
        </is>
      </c>
      <c r="K360"/>
      <c r="L360" s="3"/>
      <c r="M360"/>
      <c r="N360" t="inlineStr">
        <is>
          <t>ทั่วไป</t>
        </is>
      </c>
      <c r="O360"/>
    </row>
    <row r="361" ht="12.75" customHeight="1">
      <c r="A361" t="inlineStr">
        <is>
          <t>Galaxy S26 Ultra อาจมาพร้อมกระจก Gorilla Glass ใหม่ที่มีความทนทานสูง</t>
        </is>
      </c>
      <c r="B361" t="inlineStr">
        <is>
          <t>Saktaphat Kordjan</t>
        </is>
      </c>
      <c r="C361" s="2">
        <v>46045</v>
      </c>
      <c r="D361" s="2">
        <v>46045</v>
      </c>
      <c r="E361"/>
      <c r="F361" s="3"/>
      <c r="G361"/>
      <c r="H361" t="inlineStr">
        <is>
          <t>Website, Pic Posts / Album</t>
        </is>
      </c>
      <c r="I361" t="inlineStr">
        <is>
          <t>งานประจำวัน</t>
        </is>
      </c>
      <c r="J361" t="inlineStr">
        <is>
          <t>Done</t>
        </is>
      </c>
      <c r="K361"/>
      <c r="L361" s="3"/>
      <c r="M361"/>
      <c r="N361" t="inlineStr">
        <is>
          <t>Android</t>
        </is>
      </c>
      <c r="O361"/>
    </row>
    <row r="362" ht="12.75" customHeight="1">
      <c r="A362" t="inlineStr">
        <is>
          <t xml:space="preserve">สุดท้านคนก็โหยหา คอนเทนต์ที่ไม่ใช่ AI </t>
        </is>
      </c>
      <c r="B362" t="inlineStr">
        <is>
          <t>Nattida Suriyodara</t>
        </is>
      </c>
      <c r="C362" s="2">
        <v>46045</v>
      </c>
      <c r="D362" s="2">
        <v>46045</v>
      </c>
      <c r="E362"/>
      <c r="F362" s="3"/>
      <c r="G362"/>
      <c r="H362" t="inlineStr">
        <is>
          <t>YouTube</t>
        </is>
      </c>
      <c r="I362" t="inlineStr">
        <is>
          <t>งานประจำวัน, เสนอไอเดีย</t>
        </is>
      </c>
      <c r="J362" t="inlineStr">
        <is>
          <t>Done</t>
        </is>
      </c>
      <c r="K362"/>
      <c r="L362" s="3"/>
      <c r="M362" t="inlineStr">
        <is>
          <t>1</t>
        </is>
      </c>
      <c r="N362" t="inlineStr">
        <is>
          <t>AI</t>
        </is>
      </c>
      <c r="O362"/>
    </row>
    <row r="363" ht="12.75" customHeight="1">
      <c r="A363" t="inlineStr">
        <is>
          <t>Xiaomi เอาใจไรเดอร์ มอบส่วนลดพิเศษ เมื่อซื้อ REDMI Note 15 Series</t>
        </is>
      </c>
      <c r="B363" t="inlineStr">
        <is>
          <t>Saktaphat Kordjan</t>
        </is>
      </c>
      <c r="C363" s="2">
        <v>46043</v>
      </c>
      <c r="D363" s="2">
        <v>46043</v>
      </c>
      <c r="E363"/>
      <c r="F363" s="3"/>
      <c r="G363"/>
      <c r="H363" t="inlineStr">
        <is>
          <t>Website</t>
        </is>
      </c>
      <c r="I363" t="inlineStr">
        <is>
          <t>งานประจำวัน</t>
        </is>
      </c>
      <c r="J363" t="inlineStr">
        <is>
          <t>Done</t>
        </is>
      </c>
      <c r="K363"/>
      <c r="L363" s="3"/>
      <c r="M363" t="inlineStr">
        <is>
          <t>1</t>
        </is>
      </c>
      <c r="N363" t="inlineStr">
        <is>
          <t>Android, PR</t>
        </is>
      </c>
      <c r="O363"/>
    </row>
    <row r="364" ht="12.75" customHeight="1">
      <c r="A364" t="inlineStr">
        <is>
          <t>Samsung Galaxy S26 Ultra จะมีให้เลือก 4 สี</t>
        </is>
      </c>
      <c r="B364" t="inlineStr">
        <is>
          <t>Saktaphat Kordjan</t>
        </is>
      </c>
      <c r="C364" s="2">
        <v>46042</v>
      </c>
      <c r="D364" s="2">
        <v>46042</v>
      </c>
      <c r="E364"/>
      <c r="F364" s="3"/>
      <c r="G364"/>
      <c r="H364" t="inlineStr">
        <is>
          <t>Website, Pic Posts / Album</t>
        </is>
      </c>
      <c r="I364" t="inlineStr">
        <is>
          <t>เสนอไอเดีย</t>
        </is>
      </c>
      <c r="J364" t="inlineStr">
        <is>
          <t>Done</t>
        </is>
      </c>
      <c r="K364"/>
      <c r="L364" s="3"/>
      <c r="M364" t="inlineStr">
        <is>
          <t>1</t>
        </is>
      </c>
      <c r="N364" t="inlineStr">
        <is>
          <t>Android</t>
        </is>
      </c>
      <c r="O364"/>
    </row>
    <row r="365" ht="12.75" customHeight="1">
      <c r="A365" t="inlineStr">
        <is>
          <t>ยืนยัน! Asus ออกจากตลาดสมาร์ตโฟนแล้ว</t>
        </is>
      </c>
      <c r="B365" t="inlineStr">
        <is>
          <t>Saktaphat Kordjan</t>
        </is>
      </c>
      <c r="C365" s="2">
        <v>46042</v>
      </c>
      <c r="D365" s="2">
        <v>46042</v>
      </c>
      <c r="E365"/>
      <c r="F365" s="3"/>
      <c r="G365"/>
      <c r="H365" t="inlineStr">
        <is>
          <t>Website, Pic Posts / Album</t>
        </is>
      </c>
      <c r="I365" t="inlineStr">
        <is>
          <t>เสนอไอเดีย</t>
        </is>
      </c>
      <c r="J365" t="inlineStr">
        <is>
          <t>Done</t>
        </is>
      </c>
      <c r="K365"/>
      <c r="L365" s="3"/>
      <c r="M365" t="inlineStr">
        <is>
          <t>1</t>
        </is>
      </c>
      <c r="N365" t="inlineStr">
        <is>
          <t>Android</t>
        </is>
      </c>
      <c r="O365"/>
    </row>
    <row r="366" ht="12.75" customHeight="1">
      <c r="A366" t="inlineStr">
        <is>
          <t>OpenAI เตรียมใส่โฆษณาใน ChatGPT หวยออกที่ผู้ใช้แบบฟรี และ Go</t>
        </is>
      </c>
      <c r="B366" t="inlineStr">
        <is>
          <t>Thitirath Kinaret,Sasithakan Sritonthip</t>
        </is>
      </c>
      <c r="C366" s="2">
        <v>46042</v>
      </c>
      <c r="D366" s="2">
        <v>46042</v>
      </c>
      <c r="E366" t="inlineStr">
        <is>
          <t>ปกติ</t>
        </is>
      </c>
      <c r="F366" s="3" t="str">
        <f>=HYPERLINK("https://www.iphonemod.net/openai-soon-advertising-chatgpt-free-and-go.html", "https://www.iphonemod.net/openai-soon-advertising-chatgpt-free-and-go.html")</f>
        <v>https://www.iphonemod.net/openai-soon-advertising-chatgpt-free-and-go.html</v>
      </c>
      <c r="G366"/>
      <c r="H366" t="inlineStr">
        <is>
          <t>YouTube</t>
        </is>
      </c>
      <c r="I366" t="inlineStr">
        <is>
          <t>งานประจำวัน</t>
        </is>
      </c>
      <c r="J366" t="inlineStr">
        <is>
          <t>Done</t>
        </is>
      </c>
      <c r="K366"/>
      <c r="L366" s="3" t="str">
        <f>=HYPERLINK("https://www.youtube.com/watch?v=crbtrYwmo1A&amp;t=12s", "https://www.youtube.com/watch?v=crbtrYwmo1A&amp;t=12s")</f>
        <v>https://www.youtube.com/watch?v=crbtrYwmo1A&amp;t=12s</v>
      </c>
      <c r="M366" t="inlineStr">
        <is>
          <t>1</t>
        </is>
      </c>
      <c r="N366" t="inlineStr">
        <is>
          <t>Tech, AI</t>
        </is>
      </c>
      <c r="O366"/>
    </row>
    <row r="367" ht="12.75" customHeight="1">
      <c r="A367" t="inlineStr">
        <is>
          <t>AIS เปิดรับสมัครงานสายเทค 400 อัตรา! Walk-in สัมภาษณ์ 24 ม.ค.นี้ พร้อมสวัสดิการสุดปัง</t>
        </is>
      </c>
      <c r="B367" t="inlineStr">
        <is>
          <t>Sasithakan Sritonthip</t>
        </is>
      </c>
      <c r="C367" s="2">
        <v>46042</v>
      </c>
      <c r="D367" s="2">
        <v>46042</v>
      </c>
      <c r="E367" t="inlineStr">
        <is>
          <t>ปกติ</t>
        </is>
      </c>
      <c r="F367" s="3"/>
      <c r="G367"/>
      <c r="H367" t="inlineStr">
        <is>
          <t>Website</t>
        </is>
      </c>
      <c r="I367" t="inlineStr">
        <is>
          <t>งานลูกค้า</t>
        </is>
      </c>
      <c r="J367" t="inlineStr">
        <is>
          <t>Done</t>
        </is>
      </c>
      <c r="K367"/>
      <c r="L367" s="3" t="str">
        <f>=HYPERLINK("https://www.iphonemod.net/ais-hiring-400-tech-staff-walk-in-interviews-jan-24.html", "https://www.iphonemod.net/ais-hiring-400-tech-staff-walk-in-interviews-jan-24.html")</f>
        <v>https://www.iphonemod.net/ais-hiring-400-tech-staff-walk-in-interviews-jan-24.html</v>
      </c>
      <c r="M367" t="inlineStr">
        <is>
          <t>1</t>
        </is>
      </c>
      <c r="N367" t="inlineStr">
        <is>
          <t>ลูกค้า, Tech</t>
        </is>
      </c>
      <c r="O367" t="inlineStr">
        <is>
          <t>AIS</t>
        </is>
      </c>
    </row>
    <row r="368" ht="12.75" customHeight="1">
      <c r="A368" t="inlineStr">
        <is>
          <t>Honor เปิดตัว Watch GS 5  มาพร้อมฟีเจอร์ตรวจจับภาวะหัวใจหยุดเต้นฉับพลันและแบตเตอรี่ใช้งาน 23 วัน</t>
        </is>
      </c>
      <c r="B368" t="inlineStr">
        <is>
          <t>Sasithakan Sritonthip</t>
        </is>
      </c>
      <c r="C368" s="2">
        <v>46042</v>
      </c>
      <c r="D368" s="2">
        <v>46042</v>
      </c>
      <c r="E368" t="inlineStr">
        <is>
          <t>ปกติ</t>
        </is>
      </c>
      <c r="F368" s="3" t="str">
        <f>=HYPERLINK("https://www.wareable.com/smartwatches/honor-watch-gs-5-china-announcement-features-release-date", "https://www.wareable.com/smartwatches/honor-watch-gs-5-china-announcement-features-release-date")</f>
        <v>https://www.wareable.com/smartwatches/honor-watch-gs-5-china-announcement-features-release-date</v>
      </c>
      <c r="G368"/>
      <c r="H368" t="inlineStr">
        <is>
          <t>Website</t>
        </is>
      </c>
      <c r="I368" t="inlineStr">
        <is>
          <t>งานประจำวัน</t>
        </is>
      </c>
      <c r="J368" t="inlineStr">
        <is>
          <t>Done</t>
        </is>
      </c>
      <c r="K368"/>
      <c r="L368" s="3" t="str">
        <f>=HYPERLINK("https://www.iphonemod.net/honor-watch-gs-5-unveiled-with-cardiac-arrest-screening-and-23-day-battery.html", "https://www.iphonemod.net/honor-watch-gs-5-unveiled-with-cardiac-arrest-screening-and-23-day-battery.html")</f>
        <v>https://www.iphonemod.net/honor-watch-gs-5-unveiled-with-cardiac-arrest-screening-and-23-day-battery.html</v>
      </c>
      <c r="M368" t="inlineStr">
        <is>
          <t>1</t>
        </is>
      </c>
      <c r="N368" t="inlineStr">
        <is>
          <t>Tech</t>
        </is>
      </c>
      <c r="O368"/>
    </row>
    <row r="369" ht="12.75" customHeight="1">
      <c r="A369" t="inlineStr">
        <is>
          <t xml:space="preserve">HONOR เปิดตัว Magic 8 Pro Air </t>
        </is>
      </c>
      <c r="B369" t="inlineStr">
        <is>
          <t>Saktaphat Kordjan</t>
        </is>
      </c>
      <c r="C369" s="2">
        <v>46042</v>
      </c>
      <c r="D369" s="2">
        <v>46042</v>
      </c>
      <c r="E369"/>
      <c r="F369" s="3"/>
      <c r="G369"/>
      <c r="H369" t="inlineStr">
        <is>
          <t>Website, Pic Posts / Album</t>
        </is>
      </c>
      <c r="I369" t="inlineStr">
        <is>
          <t>เสนอไอเดีย</t>
        </is>
      </c>
      <c r="J369" t="inlineStr">
        <is>
          <t>Done</t>
        </is>
      </c>
      <c r="K369"/>
      <c r="L369" s="3"/>
      <c r="M369" t="inlineStr">
        <is>
          <t>1</t>
        </is>
      </c>
      <c r="N369" t="inlineStr">
        <is>
          <t>Android</t>
        </is>
      </c>
      <c r="O369"/>
    </row>
    <row r="370" ht="12.75" customHeight="1">
      <c r="A370" t="inlineStr">
        <is>
          <t>คาดว่า iPhone 18 Series และ Fold จะมี RAM 12GB ทุกรุ่น</t>
        </is>
      </c>
      <c r="B370" t="inlineStr">
        <is>
          <t>Sasithakan Sritonthip</t>
        </is>
      </c>
      <c r="C370" s="2">
        <v>46042</v>
      </c>
      <c r="D370" s="2">
        <v>46042</v>
      </c>
      <c r="E370" t="inlineStr">
        <is>
          <t>ปกติ</t>
        </is>
      </c>
      <c r="F370" s="3" t="str">
        <f>=HYPERLINK("https://www.macrumors.com/2026/01/19/iphone-18-pro-ram-amount-rumors/", "https://www.macrumors.com/2026/01/19/iphone-18-pro-ram-amount-rumors/")</f>
        <v>https://www.macrumors.com/2026/01/19/iphone-18-pro-ram-amount-rumors/</v>
      </c>
      <c r="G370"/>
      <c r="H370" t="inlineStr">
        <is>
          <t>Website</t>
        </is>
      </c>
      <c r="I370" t="inlineStr">
        <is>
          <t>งานประจำวัน</t>
        </is>
      </c>
      <c r="J370" t="inlineStr">
        <is>
          <t>Done</t>
        </is>
      </c>
      <c r="K370"/>
      <c r="L370" s="3" t="str">
        <f>=HYPERLINK("https://www.iphonemod.net/how-much-ram-will-the-iphone-18-pro-have-heres-what-rumors-say.html", "https://www.iphonemod.net/how-much-ram-will-the-iphone-18-pro-have-heres-what-rumors-say.html")</f>
        <v>https://www.iphonemod.net/how-much-ram-will-the-iphone-18-pro-have-heres-what-rumors-say.html</v>
      </c>
      <c r="M370" t="inlineStr">
        <is>
          <t>1</t>
        </is>
      </c>
      <c r="N370" t="inlineStr">
        <is>
          <t>Apple</t>
        </is>
      </c>
      <c r="O370"/>
    </row>
    <row r="371" ht="12.75" customHeight="1">
      <c r="A371" t="inlineStr">
        <is>
          <t>iPhone 18 Pro จ่อราคาแพงขึ้น</t>
        </is>
      </c>
      <c r="B371" t="inlineStr">
        <is>
          <t>Thitirath Kinaret,Sasithakan Sritonthip</t>
        </is>
      </c>
      <c r="C371" s="2">
        <v>46042</v>
      </c>
      <c r="D371" s="2">
        <v>46042</v>
      </c>
      <c r="E371" t="inlineStr">
        <is>
          <t>ปกติ</t>
        </is>
      </c>
      <c r="F371" s="3" t="str">
        <f>=HYPERLINK("https://www.iphonemod.net/iphone-18-series-could-deliver-a-price-shock.html", "https://www.iphonemod.net/iphone-18-series-could-deliver-a-price-shock.html")</f>
        <v>https://www.iphonemod.net/iphone-18-series-could-deliver-a-price-shock.html</v>
      </c>
      <c r="G371"/>
      <c r="H371" t="inlineStr">
        <is>
          <t>Shorts, Website</t>
        </is>
      </c>
      <c r="I371" t="inlineStr">
        <is>
          <t>งานประจำวัน</t>
        </is>
      </c>
      <c r="J371" t="inlineStr">
        <is>
          <t>Done</t>
        </is>
      </c>
      <c r="K371"/>
      <c r="L371" s="3"/>
      <c r="M371" t="inlineStr">
        <is>
          <t>1</t>
        </is>
      </c>
      <c r="N371" t="inlineStr">
        <is>
          <t>Apple</t>
        </is>
      </c>
      <c r="O371"/>
    </row>
    <row r="372" ht="12.75" customHeight="1">
      <c r="A372" t="inlineStr">
        <is>
          <t>สีไฮไลต์ Galaxy S26 Ultra จะเน้นสีนุ่มนวลมากกว่าสีจัดจ้าน</t>
        </is>
      </c>
      <c r="B372" t="inlineStr">
        <is>
          <t>Saktaphat Kordjan</t>
        </is>
      </c>
      <c r="C372" s="2">
        <v>46041</v>
      </c>
      <c r="D372" s="2">
        <v>46041</v>
      </c>
      <c r="E372"/>
      <c r="F372" s="3"/>
      <c r="G372"/>
      <c r="H372" t="inlineStr">
        <is>
          <t>Website</t>
        </is>
      </c>
      <c r="I372" t="inlineStr">
        <is>
          <t>งานประจำวัน</t>
        </is>
      </c>
      <c r="J372" t="inlineStr">
        <is>
          <t>Done</t>
        </is>
      </c>
      <c r="K372"/>
      <c r="L372" s="3"/>
      <c r="M372" t="inlineStr">
        <is>
          <t>1</t>
        </is>
      </c>
      <c r="N372" t="inlineStr">
        <is>
          <t>Android</t>
        </is>
      </c>
      <c r="O372"/>
    </row>
    <row r="373" ht="12.75" customHeight="1">
      <c r="A373" t="inlineStr">
        <is>
          <t>iOS 26.4 จะเพิ่มอีโมจิใหม่ 9 แบบนี้ให้กับ iPhone</t>
        </is>
      </c>
      <c r="B373" t="inlineStr">
        <is>
          <t>Sasithakan Sritonthip</t>
        </is>
      </c>
      <c r="C373" s="2">
        <v>46041</v>
      </c>
      <c r="D373" s="2">
        <v>46041</v>
      </c>
      <c r="E373" t="inlineStr">
        <is>
          <t>ปกติ</t>
        </is>
      </c>
      <c r="F373" s="3" t="str">
        <f>=HYPERLINK("https://www.macrumors.com/2026/01/16/ios-26-4-new-emoji/", "https://www.macrumors.com/2026/01/16/ios-26-4-new-emoji/")</f>
        <v>https://www.macrumors.com/2026/01/16/ios-26-4-new-emoji/</v>
      </c>
      <c r="G373"/>
      <c r="H373" t="inlineStr">
        <is>
          <t>Website</t>
        </is>
      </c>
      <c r="I373" t="inlineStr">
        <is>
          <t>งานประจำวัน</t>
        </is>
      </c>
      <c r="J373" t="inlineStr">
        <is>
          <t>Done</t>
        </is>
      </c>
      <c r="K373"/>
      <c r="L373" s="3" t="str">
        <f>=HYPERLINK("https://www.iphonemod.net/ios-264-will-add-these-9-new-emoji-to-your-iphone.html", "https://www.iphonemod.net/ios-264-will-add-these-9-new-emoji-to-your-iphone.html")</f>
        <v>https://www.iphonemod.net/ios-264-will-add-these-9-new-emoji-to-your-iphone.html</v>
      </c>
      <c r="M373" t="inlineStr">
        <is>
          <t>1</t>
        </is>
      </c>
      <c r="N373" t="inlineStr">
        <is>
          <t>Apple</t>
        </is>
      </c>
      <c r="O373"/>
    </row>
    <row r="374" ht="12.75" customHeight="1">
      <c r="A374" t="inlineStr">
        <is>
          <t>Lisa Jackson หัวหน้าฝ่ายสิ่งแวดล้อมของ Apple เตรียมเกษียณหลังทำงาน 13 ปี</t>
        </is>
      </c>
      <c r="B374" t="inlineStr">
        <is>
          <t>Sasithakan Sritonthip</t>
        </is>
      </c>
      <c r="C374" s="2">
        <v>46041</v>
      </c>
      <c r="D374" s="2">
        <v>46041</v>
      </c>
      <c r="E374" t="inlineStr">
        <is>
          <t>ปกติ</t>
        </is>
      </c>
      <c r="F374" s="3" t="str">
        <f>=HYPERLINK("https://www.macrumors.com/2026/01/16/apple-vp-lisa-jackson-retiring/", "https://www.macrumors.com/2026/01/16/apple-vp-lisa-jackson-retiring/")</f>
        <v>https://www.macrumors.com/2026/01/16/apple-vp-lisa-jackson-retiring/</v>
      </c>
      <c r="G374"/>
      <c r="H374" t="inlineStr">
        <is>
          <t>Website</t>
        </is>
      </c>
      <c r="I374" t="inlineStr">
        <is>
          <t>งานประจำวัน</t>
        </is>
      </c>
      <c r="J374" t="inlineStr">
        <is>
          <t>Done</t>
        </is>
      </c>
      <c r="K374"/>
      <c r="L374" s="3" t="str">
        <f>=HYPERLINK("https://www.iphonemod.net/apples-environmental-chief-lisa-jackson-retiring-after-13-years.html", "https://www.iphonemod.net/apples-environmental-chief-lisa-jackson-retiring-after-13-years.html")</f>
        <v>https://www.iphonemod.net/apples-environmental-chief-lisa-jackson-retiring-after-13-years.html</v>
      </c>
      <c r="M374" t="inlineStr">
        <is>
          <t>1</t>
        </is>
      </c>
      <c r="N374" t="inlineStr">
        <is>
          <t>Apple</t>
        </is>
      </c>
      <c r="O374"/>
    </row>
    <row r="375" ht="12.75" customHeight="1">
      <c r="A375" t="inlineStr">
        <is>
          <t xml:space="preserve">2016 เกิดอะไรขึ้น </t>
        </is>
      </c>
      <c r="B375" t="inlineStr">
        <is>
          <t>Saktaphat Kordjan,Thitirath Kinaret</t>
        </is>
      </c>
      <c r="C375" s="2">
        <v>46041</v>
      </c>
      <c r="D375" s="2">
        <v>46041</v>
      </c>
      <c r="E375"/>
      <c r="F375" s="3"/>
      <c r="G375"/>
      <c r="H375" t="inlineStr">
        <is>
          <t>YouTube</t>
        </is>
      </c>
      <c r="I375" t="inlineStr">
        <is>
          <t>เสนอไอเดีย</t>
        </is>
      </c>
      <c r="J375" t="inlineStr">
        <is>
          <t>Done</t>
        </is>
      </c>
      <c r="K375"/>
      <c r="L375" s="3"/>
      <c r="M375" t="inlineStr">
        <is>
          <t>1</t>
        </is>
      </c>
      <c r="N375" t="inlineStr">
        <is>
          <t>Android, Apple</t>
        </is>
      </c>
      <c r="O375"/>
    </row>
    <row r="376" ht="12.75" customHeight="1">
      <c r="A376" t="inlineStr">
        <is>
          <t>Infinix Note Edge เปิดตัวมาพร้อม Dimensity 7100 บางเพียง 7.2 มม.</t>
        </is>
      </c>
      <c r="B376" t="inlineStr">
        <is>
          <t>Saktaphat Kordjan</t>
        </is>
      </c>
      <c r="C376" s="2">
        <v>46041</v>
      </c>
      <c r="D376" s="2">
        <v>46041</v>
      </c>
      <c r="E376"/>
      <c r="F376" s="3"/>
      <c r="G376"/>
      <c r="H376" t="inlineStr">
        <is>
          <t>Website</t>
        </is>
      </c>
      <c r="I376" t="inlineStr">
        <is>
          <t>งานประจำวัน</t>
        </is>
      </c>
      <c r="J376" t="inlineStr">
        <is>
          <t>Done</t>
        </is>
      </c>
      <c r="K376"/>
      <c r="L376" s="3"/>
      <c r="M376" t="inlineStr">
        <is>
          <t>1</t>
        </is>
      </c>
      <c r="N376" t="inlineStr">
        <is>
          <t>Android</t>
        </is>
      </c>
      <c r="O376"/>
    </row>
    <row r="377" ht="12.75" customHeight="1">
      <c r="A377" t="inlineStr">
        <is>
          <t xml:space="preserve">vivo X300 Pro Speaker test </t>
        </is>
      </c>
      <c r="B377" t="inlineStr">
        <is>
          <t>Saktaphat Kordjan</t>
        </is>
      </c>
      <c r="C377" s="2">
        <v>46041</v>
      </c>
      <c r="D377" s="2">
        <v>46041</v>
      </c>
      <c r="E377"/>
      <c r="F377" s="3"/>
      <c r="G377"/>
      <c r="H377" t="inlineStr">
        <is>
          <t>Shorts</t>
        </is>
      </c>
      <c r="I377" t="inlineStr">
        <is>
          <t>เสนอไอเดีย</t>
        </is>
      </c>
      <c r="J377" t="inlineStr">
        <is>
          <t>Done</t>
        </is>
      </c>
      <c r="K377"/>
      <c r="L377" s="3"/>
      <c r="M377" t="inlineStr">
        <is>
          <t>1</t>
        </is>
      </c>
      <c r="N377" t="inlineStr">
        <is>
          <t>Android</t>
        </is>
      </c>
      <c r="O377"/>
    </row>
    <row r="378" ht="12.75" customHeight="1">
      <c r="A378" t="inlineStr">
        <is>
          <t>เผยดีไซน์Redmi Turbo 5 Max เตรียมมาพร้อมแบต 9,000mAh</t>
        </is>
      </c>
      <c r="B378" t="inlineStr">
        <is>
          <t>Saktaphat Kordjan</t>
        </is>
      </c>
      <c r="C378" s="2">
        <v>46041</v>
      </c>
      <c r="D378" s="2">
        <v>46041</v>
      </c>
      <c r="E378"/>
      <c r="F378" s="3"/>
      <c r="G378"/>
      <c r="H378" t="inlineStr">
        <is>
          <t>Website</t>
        </is>
      </c>
      <c r="I378" t="inlineStr">
        <is>
          <t>งานประจำวัน</t>
        </is>
      </c>
      <c r="J378" t="inlineStr">
        <is>
          <t>Done</t>
        </is>
      </c>
      <c r="K378"/>
      <c r="L378" s="3"/>
      <c r="M378" t="inlineStr">
        <is>
          <t>1</t>
        </is>
      </c>
      <c r="N378" t="inlineStr">
        <is>
          <t>Android</t>
        </is>
      </c>
      <c r="O378"/>
    </row>
    <row r="379" ht="12.75" customHeight="1">
      <c r="A379" t="inlineStr">
        <is>
          <t>Spigen เปิดตัว Classic LS เคส iPhone 17 Pro ดีไซน์จาก Macintosh รุ่นดั้งเดิมปี 1984</t>
        </is>
      </c>
      <c r="B379" t="inlineStr">
        <is>
          <t>Sasithakan Sritonthip</t>
        </is>
      </c>
      <c r="C379" s="2">
        <v>46038</v>
      </c>
      <c r="D379" s="2">
        <v>46038</v>
      </c>
      <c r="E379" t="inlineStr">
        <is>
          <t>ปกติ</t>
        </is>
      </c>
      <c r="F379" s="3" t="str">
        <f>=HYPERLINK("https://9to5mac.com/2026/01/14/iphone-17-pro-case-offers-tribute-to-original-1984-macintosh/", "https://9to5mac.com/2026/01/14/iphone-17-pro-case-offers-tribute-to-original-1984-macintosh/")</f>
        <v>https://9to5mac.com/2026/01/14/iphone-17-pro-case-offers-tribute-to-original-1984-macintosh/</v>
      </c>
      <c r="G379"/>
      <c r="H379" t="inlineStr">
        <is>
          <t>Website</t>
        </is>
      </c>
      <c r="I379" t="inlineStr">
        <is>
          <t>งานประจำวัน</t>
        </is>
      </c>
      <c r="J379" t="inlineStr">
        <is>
          <t>Done</t>
        </is>
      </c>
      <c r="K379"/>
      <c r="L379" s="3" t="str">
        <f>=HYPERLINK("https://www.iphonemod.net/iphone-17-pro-case-offers-tribute-to-original-1984-macintosh.html", "https://www.iphonemod.net/iphone-17-pro-case-offers-tribute-to-original-1984-macintosh.html")</f>
        <v>https://www.iphonemod.net/iphone-17-pro-case-offers-tribute-to-original-1984-macintosh.html</v>
      </c>
      <c r="M379" t="inlineStr">
        <is>
          <t>1</t>
        </is>
      </c>
      <c r="N379" t="inlineStr">
        <is>
          <t>Apple, Tech</t>
        </is>
      </c>
      <c r="O379"/>
    </row>
    <row r="380" ht="12.75" customHeight="1">
      <c r="A380" t="inlineStr">
        <is>
          <t>Air France ประกาศสิทธิพิเศษใหม่ รับชม Apple TV ได้ฟรี!</t>
        </is>
      </c>
      <c r="B380" t="inlineStr">
        <is>
          <t>Sasithakan Sritonthip</t>
        </is>
      </c>
      <c r="C380" s="2">
        <v>46038</v>
      </c>
      <c r="D380" s="2">
        <v>46038</v>
      </c>
      <c r="E380" t="inlineStr">
        <is>
          <t>ปกติ</t>
        </is>
      </c>
      <c r="F380" s="3" t="str">
        <f>=HYPERLINK("https://www.macrumors.com/2026/01/15/air-france-apple-tv/", "https://www.macrumors.com/2026/01/15/air-france-apple-tv/")</f>
        <v>https://www.macrumors.com/2026/01/15/air-france-apple-tv/</v>
      </c>
      <c r="G380"/>
      <c r="H380" t="inlineStr">
        <is>
          <t>Website</t>
        </is>
      </c>
      <c r="I380" t="inlineStr">
        <is>
          <t>งานประจำวัน</t>
        </is>
      </c>
      <c r="J380" t="inlineStr">
        <is>
          <t>Done</t>
        </is>
      </c>
      <c r="K380"/>
      <c r="L380" s="3" t="str">
        <f>=HYPERLINK("https://www.iphonemod.net/air-france-announces-new-apple-tv-perks.html", "https://www.iphonemod.net/air-france-announces-new-apple-tv-perks.html")</f>
        <v>https://www.iphonemod.net/air-france-announces-new-apple-tv-perks.html</v>
      </c>
      <c r="M380" t="inlineStr">
        <is>
          <t>1</t>
        </is>
      </c>
      <c r="N380" t="inlineStr">
        <is>
          <t>Apple</t>
        </is>
      </c>
      <c r="O380"/>
    </row>
    <row r="381" ht="12.75" customHeight="1">
      <c r="A381" t="inlineStr">
        <is>
          <t>พบเลขโมเดล Apple Studio Display หรือ Pro Display XDR จอภาพรุ่นใหม่ของ Apple</t>
        </is>
      </c>
      <c r="B381" t="inlineStr">
        <is>
          <t>Sasithakan Sritonthip</t>
        </is>
      </c>
      <c r="C381" s="2">
        <v>46038</v>
      </c>
      <c r="D381" s="2">
        <v>46038</v>
      </c>
      <c r="E381" t="inlineStr">
        <is>
          <t>ปกติ</t>
        </is>
      </c>
      <c r="F381" s="3" t="str">
        <f>=HYPERLINK("https://www.macrumors.com/2026/01/15/new-studio-display-or-pro-display-xdr-filing/", "https://www.macrumors.com/2026/01/15/new-studio-display-or-pro-display-xdr-filing/")</f>
        <v>https://www.macrumors.com/2026/01/15/new-studio-display-or-pro-display-xdr-filing/</v>
      </c>
      <c r="G381"/>
      <c r="H381" t="inlineStr">
        <is>
          <t>Website</t>
        </is>
      </c>
      <c r="I381" t="inlineStr">
        <is>
          <t>งานประจำวัน</t>
        </is>
      </c>
      <c r="J381" t="inlineStr">
        <is>
          <t>Done</t>
        </is>
      </c>
      <c r="K381"/>
      <c r="L381" s="3" t="str">
        <f>=HYPERLINK("https://www.iphonemod.net/new-studio-display-or-pro-display-xdr-spotted-in-regulatory-database.html", "https://www.iphonemod.net/new-studio-display-or-pro-display-xdr-spotted-in-regulatory-database.html")</f>
        <v>https://www.iphonemod.net/new-studio-display-or-pro-display-xdr-spotted-in-regulatory-database.html</v>
      </c>
      <c r="M381" t="inlineStr">
        <is>
          <t>1</t>
        </is>
      </c>
      <c r="N381" t="inlineStr">
        <is>
          <t>Apple</t>
        </is>
      </c>
      <c r="O381"/>
    </row>
    <row r="382" ht="12.75" customHeight="1">
      <c r="A382" t="inlineStr">
        <is>
          <t>อัปเดต iOS 26.4 เพิ่ม Siri ลงแอป Apple Notes</t>
        </is>
      </c>
      <c r="B382" t="inlineStr">
        <is>
          <t>Sasithakan Sritonthip</t>
        </is>
      </c>
      <c r="C382" s="2">
        <v>46038</v>
      </c>
      <c r="D382" s="2">
        <v>46038</v>
      </c>
      <c r="E382" t="inlineStr">
        <is>
          <t>ปกติ</t>
        </is>
      </c>
      <c r="F382" s="3" t="str">
        <f>=HYPERLINK("https://9to5mac.com/2026/01/14/apple-notes-could-get-a-powerful-new-advantage-in-ios-26-4-per-report/", "https://9to5mac.com/2026/01/14/apple-notes-could-get-a-powerful-new-advantage-in-ios-26-4-per-report/")</f>
        <v>https://9to5mac.com/2026/01/14/apple-notes-could-get-a-powerful-new-advantage-in-ios-26-4-per-report/</v>
      </c>
      <c r="G382"/>
      <c r="H382" t="inlineStr">
        <is>
          <t>Website</t>
        </is>
      </c>
      <c r="I382" t="inlineStr">
        <is>
          <t>งานประจำวัน</t>
        </is>
      </c>
      <c r="J382" t="inlineStr">
        <is>
          <t>Done</t>
        </is>
      </c>
      <c r="K382"/>
      <c r="L382" s="3" t="str">
        <f>=HYPERLINK("https://www.iphonemod.net/apple-notes-could-get-a-powerful-new-advantage-in-ios-264-per-report.html", "https://www.iphonemod.net/apple-notes-could-get-a-powerful-new-advantage-in-ios-264-per-report.html")</f>
        <v>https://www.iphonemod.net/apple-notes-could-get-a-powerful-new-advantage-in-ios-264-per-report.html</v>
      </c>
      <c r="M382" t="inlineStr">
        <is>
          <t>1</t>
        </is>
      </c>
      <c r="N382" t="inlineStr">
        <is>
          <t>Apple</t>
        </is>
      </c>
      <c r="O382"/>
    </row>
    <row r="383" ht="12.75" customHeight="1">
      <c r="A383" t="inlineStr">
        <is>
          <t>สรุป 12 ฟีเจอร์ ที่ลือจะมีใน iPhone 18 Pro / Pro Max</t>
        </is>
      </c>
      <c r="B383" t="inlineStr">
        <is>
          <t>Sasithakan Sritonthip</t>
        </is>
      </c>
      <c r="C383" s="2">
        <v>46038</v>
      </c>
      <c r="D383" s="2">
        <v>46038</v>
      </c>
      <c r="E383" t="inlineStr">
        <is>
          <t>ปกติ</t>
        </is>
      </c>
      <c r="F383" s="3" t="str">
        <f>=HYPERLINK("https://www.macrumors.com/2026/01/15/iphone-18-pro-this-year/", "https://www.macrumors.com/2026/01/15/iphone-18-pro-this-year/")</f>
        <v>https://www.macrumors.com/2026/01/15/iphone-18-pro-this-year/</v>
      </c>
      <c r="G383"/>
      <c r="H383" t="inlineStr">
        <is>
          <t>Website</t>
        </is>
      </c>
      <c r="I383" t="inlineStr">
        <is>
          <t>งานประจำวัน</t>
        </is>
      </c>
      <c r="J383" t="inlineStr">
        <is>
          <t>Done</t>
        </is>
      </c>
      <c r="K383"/>
      <c r="L383" s="3" t="str">
        <f>=HYPERLINK("https://www.iphonemod.net/iphone-18-pro-launching-later-this-year-with-these-12-new-features.html", "https://www.iphonemod.net/iphone-18-pro-launching-later-this-year-with-these-12-new-features.html")</f>
        <v>https://www.iphonemod.net/iphone-18-pro-launching-later-this-year-with-these-12-new-features.html</v>
      </c>
      <c r="M383" t="inlineStr">
        <is>
          <t>1</t>
        </is>
      </c>
      <c r="N383" t="inlineStr">
        <is>
          <t>Apple</t>
        </is>
      </c>
      <c r="O383"/>
    </row>
    <row r="384" ht="12.75" customHeight="1">
      <c r="A384" t="inlineStr">
        <is>
          <t>MediaTek เปิดตัว Dimensity 9500s และ Dimensity 8500 ชิปสมาร์ทโฟน Android รุ่น “เรือธง”</t>
        </is>
      </c>
      <c r="B384" t="inlineStr">
        <is>
          <t>Sasithakan Sritonthip</t>
        </is>
      </c>
      <c r="C384" s="2">
        <v>46038</v>
      </c>
      <c r="D384" s="2">
        <v>46038</v>
      </c>
      <c r="E384" t="inlineStr">
        <is>
          <t>ปกติ</t>
        </is>
      </c>
      <c r="F384" s="3" t="str">
        <f>=HYPERLINK("https://9to5google.com/2026/01/15/mediatek-dimensity-9500s-and-dimensity-8500-debut-for-androids-flagship-killer-phones/", "https://9to5google.com/2026/01/15/mediatek-dimensity-9500s-and-dimensity-8500-debut-for-androids-flagship-killer-phones/")</f>
        <v>https://9to5google.com/2026/01/15/mediatek-dimensity-9500s-and-dimensity-8500-debut-for-androids-flagship-killer-phones/</v>
      </c>
      <c r="G384"/>
      <c r="H384" t="inlineStr">
        <is>
          <t>Website</t>
        </is>
      </c>
      <c r="I384" t="inlineStr">
        <is>
          <t>งานประจำวัน</t>
        </is>
      </c>
      <c r="J384" t="inlineStr">
        <is>
          <t>Done</t>
        </is>
      </c>
      <c r="K384"/>
      <c r="L384" s="3" t="str">
        <f>=HYPERLINK("https://www.iphonemod.net/mediatek-dimensity-9500s-and-dimensity-8500-debut-for-androids-flagship-killer-phones.html", "https://www.iphonemod.net/mediatek-dimensity-9500s-and-dimensity-8500-debut-for-androids-flagship-killer-phones.html")</f>
        <v>https://www.iphonemod.net/mediatek-dimensity-9500s-and-dimensity-8500-debut-for-androids-flagship-killer-phones.html</v>
      </c>
      <c r="M384" t="inlineStr">
        <is>
          <t>1</t>
        </is>
      </c>
      <c r="N384" t="inlineStr">
        <is>
          <t>Android</t>
        </is>
      </c>
      <c r="O384"/>
    </row>
    <row r="385" ht="12.75" customHeight="1">
      <c r="A385" t="inlineStr">
        <is>
          <t>เปิดตัว iQOO Z11 Turbo ชิป Snapdragon 8 Gen 5</t>
        </is>
      </c>
      <c r="B385" t="inlineStr">
        <is>
          <t>Saktaphat Kordjan</t>
        </is>
      </c>
      <c r="C385" s="2">
        <v>46038</v>
      </c>
      <c r="D385" s="2">
        <v>46038</v>
      </c>
      <c r="E385"/>
      <c r="F385" s="3"/>
      <c r="G385"/>
      <c r="H385" t="inlineStr">
        <is>
          <t>Website</t>
        </is>
      </c>
      <c r="I385" t="inlineStr">
        <is>
          <t>งานประจำวัน</t>
        </is>
      </c>
      <c r="J385" t="inlineStr">
        <is>
          <t>Done</t>
        </is>
      </c>
      <c r="K385"/>
      <c r="L385" s="3"/>
      <c r="M385" t="inlineStr">
        <is>
          <t>1</t>
        </is>
      </c>
      <c r="N385" t="inlineStr">
        <is>
          <t>Android</t>
        </is>
      </c>
      <c r="O385"/>
    </row>
    <row r="386" ht="12.75" customHeight="1">
      <c r="A386" t="inlineStr">
        <is>
          <t>รอเลย! กลางปี 2569 แตะขึ้น BTS ด้วย Samsung Wallet</t>
        </is>
      </c>
      <c r="B386" t="inlineStr">
        <is>
          <t>Saktaphat Kordjan</t>
        </is>
      </c>
      <c r="C386" s="2">
        <v>46038</v>
      </c>
      <c r="D386" s="2">
        <v>46038</v>
      </c>
      <c r="E386"/>
      <c r="F386" s="3"/>
      <c r="G386"/>
      <c r="H386" t="inlineStr">
        <is>
          <t>Website, Pic Posts / Album</t>
        </is>
      </c>
      <c r="I386" t="inlineStr">
        <is>
          <t>เสนอไอเดีย</t>
        </is>
      </c>
      <c r="J386" t="inlineStr">
        <is>
          <t>Done</t>
        </is>
      </c>
      <c r="K386"/>
      <c r="L386" s="3"/>
      <c r="M386" t="inlineStr">
        <is>
          <t>1</t>
        </is>
      </c>
      <c r="N386" t="inlineStr">
        <is>
          <t>Android</t>
        </is>
      </c>
      <c r="O386"/>
    </row>
    <row r="387" ht="12.75" customHeight="1">
      <c r="A387" t="inlineStr">
        <is>
          <t xml:space="preserve">OPPO Reno15 Series 5G วางจำหน่ายอย่างเป็นทางการ </t>
        </is>
      </c>
      <c r="B387" t="inlineStr">
        <is>
          <t>Saktaphat Kordjan</t>
        </is>
      </c>
      <c r="C387" s="2">
        <v>46038</v>
      </c>
      <c r="D387" s="2">
        <v>46038</v>
      </c>
      <c r="E387"/>
      <c r="F387" s="3"/>
      <c r="G387"/>
      <c r="H387" t="inlineStr">
        <is>
          <t>Website</t>
        </is>
      </c>
      <c r="I387" t="inlineStr">
        <is>
          <t>งานประจำวัน</t>
        </is>
      </c>
      <c r="J387" t="inlineStr">
        <is>
          <t>Done</t>
        </is>
      </c>
      <c r="K387"/>
      <c r="L387" s="3"/>
      <c r="M387" t="inlineStr">
        <is>
          <t>1</t>
        </is>
      </c>
      <c r="N387" t="inlineStr">
        <is>
          <t>Android, PR</t>
        </is>
      </c>
      <c r="O387"/>
    </row>
    <row r="388" ht="12.75" customHeight="1">
      <c r="A388" t="inlineStr">
        <is>
          <t>Apple Arcade เตรียมเพิ่ม 4 เกมใหม่ในเดือน ก.พ. 2026 นี้</t>
        </is>
      </c>
      <c r="B388" t="inlineStr">
        <is>
          <t>Sasithakan Sritonthip</t>
        </is>
      </c>
      <c r="C388" s="2">
        <v>46037</v>
      </c>
      <c r="D388" s="2">
        <v>46037</v>
      </c>
      <c r="E388" t="inlineStr">
        <is>
          <t>ปกติ</t>
        </is>
      </c>
      <c r="F388" s="3" t="str">
        <f>=HYPERLINK("https://www.macrumors.com/2026/01/14/apple-arcade-games-february-2026/", "https://www.macrumors.com/2026/01/14/apple-arcade-games-february-2026/")</f>
        <v>https://www.macrumors.com/2026/01/14/apple-arcade-games-february-2026/</v>
      </c>
      <c r="G388"/>
      <c r="H388" t="inlineStr">
        <is>
          <t>Website</t>
        </is>
      </c>
      <c r="I388" t="inlineStr">
        <is>
          <t>งานประจำวัน</t>
        </is>
      </c>
      <c r="J388" t="inlineStr">
        <is>
          <t>Done</t>
        </is>
      </c>
      <c r="K388"/>
      <c r="L388" s="3" t="str">
        <f>=HYPERLINK("https://www.iphonemod.net/apple-arcade-adding-these-four-games-in-february.html", "https://www.iphonemod.net/apple-arcade-adding-these-four-games-in-february.html")</f>
        <v>https://www.iphonemod.net/apple-arcade-adding-these-four-games-in-february.html</v>
      </c>
      <c r="M388" t="inlineStr">
        <is>
          <t>1</t>
        </is>
      </c>
      <c r="N388" t="inlineStr">
        <is>
          <t>Apple</t>
        </is>
      </c>
      <c r="O388"/>
    </row>
    <row r="389" ht="12.75" customHeight="1">
      <c r="A389" t="inlineStr">
        <is>
          <t>แว่นตา Android XR ของ Samsung คาดมาพร้อมกล้อง 12MP และอาจมีหลายรุ่น</t>
        </is>
      </c>
      <c r="B389" t="inlineStr">
        <is>
          <t>Sasithakan Sritonthip</t>
        </is>
      </c>
      <c r="C389" s="2">
        <v>46037</v>
      </c>
      <c r="D389" s="2">
        <v>46037</v>
      </c>
      <c r="E389" t="inlineStr">
        <is>
          <t>ปกติ</t>
        </is>
      </c>
      <c r="F389" s="3" t="str">
        <f>=HYPERLINK("https://9to5google.com/2026/01/14/samsung-android-xr-glasses-camera-multiple-models/", "https://9to5google.com/2026/01/14/samsung-android-xr-glasses-camera-multiple-models/")</f>
        <v>https://9to5google.com/2026/01/14/samsung-android-xr-glasses-camera-multiple-models/</v>
      </c>
      <c r="G389"/>
      <c r="H389" t="inlineStr">
        <is>
          <t>Website</t>
        </is>
      </c>
      <c r="I389" t="inlineStr">
        <is>
          <t>งานประจำวัน</t>
        </is>
      </c>
      <c r="J389" t="inlineStr">
        <is>
          <t>Done</t>
        </is>
      </c>
      <c r="K389"/>
      <c r="L389" s="3" t="str">
        <f>=HYPERLINK("https://www.iphonemod.net/samsungs-android-xr-glasses-reportedly-have-a-12mp-camera-maybe-multiple-models.html", "https://www.iphonemod.net/samsungs-android-xr-glasses-reportedly-have-a-12mp-camera-maybe-multiple-models.html")</f>
        <v>https://www.iphonemod.net/samsungs-android-xr-glasses-reportedly-have-a-12mp-camera-maybe-multiple-models.html</v>
      </c>
      <c r="M389" t="inlineStr">
        <is>
          <t>1</t>
        </is>
      </c>
      <c r="N389" t="inlineStr">
        <is>
          <t>Android</t>
        </is>
      </c>
      <c r="O389"/>
    </row>
    <row r="390" ht="12.75" customHeight="1">
      <c r="A390" t="inlineStr">
        <is>
          <t>ผู้ใช้ Galaxy Z TriFold รายหนึ่ง เจอปัญหา หน้าจอมุมพับเครื่องพังจนใช้งานไม่ได้</t>
        </is>
      </c>
      <c r="B390" t="inlineStr">
        <is>
          <t>Sasithakan Sritonthip</t>
        </is>
      </c>
      <c r="C390" s="2">
        <v>46037</v>
      </c>
      <c r="D390" s="2">
        <v>46037</v>
      </c>
      <c r="E390" t="inlineStr">
        <is>
          <t>ปกติ</t>
        </is>
      </c>
      <c r="F390" s="3" t="str">
        <f>=HYPERLINK("https://9to5google.com/2026/01/14/galaxy-z-trifold-display-spontaneously-broke/", "https://9to5google.com/2026/01/14/galaxy-z-trifold-display-spontaneously-broke/")</f>
        <v>https://9to5google.com/2026/01/14/galaxy-z-trifold-display-spontaneously-broke/</v>
      </c>
      <c r="G390"/>
      <c r="H390" t="inlineStr">
        <is>
          <t>Website</t>
        </is>
      </c>
      <c r="I390" t="inlineStr">
        <is>
          <t>งานประจำวัน</t>
        </is>
      </c>
      <c r="J390" t="inlineStr">
        <is>
          <t>Done</t>
        </is>
      </c>
      <c r="K390"/>
      <c r="L390" s="3" t="str">
        <f>=HYPERLINK("https://www.iphonemod.net/someones-galaxy-z-trifold-display-already-spontaneously-broke.html", "https://www.iphonemod.net/someones-galaxy-z-trifold-display-already-spontaneously-broke.html")</f>
        <v>https://www.iphonemod.net/someones-galaxy-z-trifold-display-already-spontaneously-broke.html</v>
      </c>
      <c r="M390" t="inlineStr">
        <is>
          <t>1</t>
        </is>
      </c>
      <c r="N390" t="inlineStr">
        <is>
          <t>Android</t>
        </is>
      </c>
      <c r="O390"/>
    </row>
    <row r="391" ht="12.75" customHeight="1">
      <c r="A391" t="inlineStr">
        <is>
          <t>iPhone 18 ซ่อน Face ID กล้องหน้าซ้ายจอ</t>
        </is>
      </c>
      <c r="B391" t="inlineStr">
        <is>
          <t>Sasithakan Sritonthip</t>
        </is>
      </c>
      <c r="C391" s="2">
        <v>46037</v>
      </c>
      <c r="D391" s="2">
        <v>46037</v>
      </c>
      <c r="E391" t="inlineStr">
        <is>
          <t>ปกติ</t>
        </is>
      </c>
      <c r="F391" s="3" t="str">
        <f>=HYPERLINK("https://www.iphonemod.net/new-leak-reveals-iphone-18-pro-display-sizes-under-screen-face-id-and-more.html", "https://www.iphonemod.net/new-leak-reveals-iphone-18-pro-display-sizes-under-screen-face-id-and-more.html")</f>
        <v>https://www.iphonemod.net/new-leak-reveals-iphone-18-pro-display-sizes-under-screen-face-id-and-more.html</v>
      </c>
      <c r="G391"/>
      <c r="H391" t="inlineStr">
        <is>
          <t>Shorts</t>
        </is>
      </c>
      <c r="I391" t="inlineStr">
        <is>
          <t>งานประจำวัน</t>
        </is>
      </c>
      <c r="J391" t="inlineStr">
        <is>
          <t>Done</t>
        </is>
      </c>
      <c r="K391"/>
      <c r="L391" s="3"/>
      <c r="M391" t="inlineStr">
        <is>
          <t>1</t>
        </is>
      </c>
      <c r="N391" t="inlineStr">
        <is>
          <t>Apple</t>
        </is>
      </c>
      <c r="O391"/>
    </row>
    <row r="392" ht="12.75" customHeight="1">
      <c r="A392" t="inlineStr">
        <is>
          <t>ลือ! iPhone จอพับรุ่นแรก ใช้ Liquid Metal, Titanium</t>
        </is>
      </c>
      <c r="B392" t="inlineStr">
        <is>
          <t>Sasithakan Sritonthip</t>
        </is>
      </c>
      <c r="C392" s="2">
        <v>46037</v>
      </c>
      <c r="D392" s="2">
        <v>46037</v>
      </c>
      <c r="E392" t="inlineStr">
        <is>
          <t>ปกติ</t>
        </is>
      </c>
      <c r="F392" s="3" t="str">
        <f>=HYPERLINK("https://www.iphonemod.net/apple-foldable-iphone-rumored-to-be-built-with-liquid-metal-and-improved-titanium.html", "https://www.iphonemod.net/apple-foldable-iphone-rumored-to-be-built-with-liquid-metal-and-improved-titanium.html")</f>
        <v>https://www.iphonemod.net/apple-foldable-iphone-rumored-to-be-built-with-liquid-metal-and-improved-titanium.html</v>
      </c>
      <c r="G392"/>
      <c r="H392" t="inlineStr">
        <is>
          <t>Shorts</t>
        </is>
      </c>
      <c r="I392" t="inlineStr">
        <is>
          <t>งานประจำวัน</t>
        </is>
      </c>
      <c r="J392" t="inlineStr">
        <is>
          <t>Done</t>
        </is>
      </c>
      <c r="K392"/>
      <c r="L392" s="3"/>
      <c r="M392" t="inlineStr">
        <is>
          <t>1</t>
        </is>
      </c>
      <c r="N392" t="inlineStr">
        <is>
          <t>Apple</t>
        </is>
      </c>
      <c r="O392"/>
    </row>
    <row r="393" ht="12.75" customHeight="1">
      <c r="A393" t="inlineStr">
        <is>
          <t>Photo Album | เครื่องฟอกอากาศ 2026 Xiaomi Mijia</t>
        </is>
      </c>
      <c r="B393" t="inlineStr">
        <is>
          <t>Krongkwun  Rithiwong,Tarn</t>
        </is>
      </c>
      <c r="C393" s="2">
        <v>46037</v>
      </c>
      <c r="D393" s="2">
        <v>46037</v>
      </c>
      <c r="E393" t="inlineStr">
        <is>
          <t>ปกติ</t>
        </is>
      </c>
      <c r="F393" s="3"/>
      <c r="G393"/>
      <c r="H393" t="inlineStr">
        <is>
          <t>Pic Posts / Album</t>
        </is>
      </c>
      <c r="I393" t="inlineStr">
        <is>
          <t>งานประจำวัน</t>
        </is>
      </c>
      <c r="J393" t="inlineStr">
        <is>
          <t>Done</t>
        </is>
      </c>
      <c r="K393"/>
      <c r="L393" s="3"/>
      <c r="M393" t="inlineStr">
        <is>
          <t>1</t>
        </is>
      </c>
      <c r="N393" t="inlineStr">
        <is>
          <t>Tech</t>
        </is>
      </c>
      <c r="O393"/>
    </row>
    <row r="394" ht="12.75" customHeight="1">
      <c r="A394" t="inlineStr">
        <is>
          <t>เครื่องฟอกอากาศ 2026 Xiaomi Mijia</t>
        </is>
      </c>
      <c r="B394" t="inlineStr">
        <is>
          <t>Krongkwun  Rithiwong</t>
        </is>
      </c>
      <c r="C394" s="2">
        <v>46037</v>
      </c>
      <c r="D394" s="2">
        <v>46037</v>
      </c>
      <c r="E394" t="inlineStr">
        <is>
          <t>ปกติ</t>
        </is>
      </c>
      <c r="F394" s="3"/>
      <c r="G394"/>
      <c r="H394" t="inlineStr">
        <is>
          <t>Shorts</t>
        </is>
      </c>
      <c r="I394" t="inlineStr">
        <is>
          <t>งานประจำวัน</t>
        </is>
      </c>
      <c r="J394" t="inlineStr">
        <is>
          <t>Done</t>
        </is>
      </c>
      <c r="K394"/>
      <c r="L394" s="3"/>
      <c r="M394" t="inlineStr">
        <is>
          <t>1</t>
        </is>
      </c>
      <c r="N394" t="inlineStr">
        <is>
          <t>Tech</t>
        </is>
      </c>
      <c r="O394"/>
    </row>
    <row r="395" ht="12.75" customHeight="1">
      <c r="A395" t="inlineStr">
        <is>
          <t>youtube เพิ่มฟีเจอร์ให้ผู้ปกครอง</t>
        </is>
      </c>
      <c r="B395" t="inlineStr">
        <is>
          <t>Krongkwun  Rithiwong</t>
        </is>
      </c>
      <c r="C395" s="2">
        <v>46037</v>
      </c>
      <c r="D395" s="2">
        <v>46037</v>
      </c>
      <c r="E395" t="inlineStr">
        <is>
          <t>ปกติ</t>
        </is>
      </c>
      <c r="F395" s="3"/>
      <c r="G395"/>
      <c r="H395" t="inlineStr">
        <is>
          <t>Shorts</t>
        </is>
      </c>
      <c r="I395" t="inlineStr">
        <is>
          <t>งานประจำวัน</t>
        </is>
      </c>
      <c r="J395" t="inlineStr">
        <is>
          <t>Done</t>
        </is>
      </c>
      <c r="K395"/>
      <c r="L395" s="3"/>
      <c r="M395" t="inlineStr">
        <is>
          <t>1</t>
        </is>
      </c>
      <c r="N395" t="inlineStr">
        <is>
          <t>Tech</t>
        </is>
      </c>
      <c r="O395"/>
    </row>
    <row r="396" ht="12.75" customHeight="1">
      <c r="A396" t="inlineStr">
        <is>
          <t xml:space="preserve">DE-Fence </t>
        </is>
      </c>
      <c r="B396" t="inlineStr">
        <is>
          <t>Krongkwun  Rithiwong</t>
        </is>
      </c>
      <c r="C396" s="2">
        <v>46037</v>
      </c>
      <c r="D396" s="2">
        <v>46037</v>
      </c>
      <c r="E396" t="inlineStr">
        <is>
          <t>ปกติ</t>
        </is>
      </c>
      <c r="F396" s="3"/>
      <c r="G396"/>
      <c r="H396" t="inlineStr">
        <is>
          <t>Shorts</t>
        </is>
      </c>
      <c r="I396" t="inlineStr">
        <is>
          <t>งานประจำวัน</t>
        </is>
      </c>
      <c r="J396" t="inlineStr">
        <is>
          <t>Done</t>
        </is>
      </c>
      <c r="K396"/>
      <c r="L396" s="3"/>
      <c r="M396" t="inlineStr">
        <is>
          <t>1</t>
        </is>
      </c>
      <c r="N396" t="inlineStr">
        <is>
          <t>Tech</t>
        </is>
      </c>
      <c r="O396"/>
    </row>
    <row r="397" ht="12.75" customHeight="1">
      <c r="A397" t="inlineStr">
        <is>
          <t>ไต้หวันออกหมายจับ CEO ของ OnePlus</t>
        </is>
      </c>
      <c r="B397" t="inlineStr">
        <is>
          <t>Saktaphat Kordjan</t>
        </is>
      </c>
      <c r="C397" s="2">
        <v>46037</v>
      </c>
      <c r="D397" s="2">
        <v>46037</v>
      </c>
      <c r="E397"/>
      <c r="F397" s="3"/>
      <c r="G397"/>
      <c r="H397" t="inlineStr">
        <is>
          <t>Pic Posts / Album, Website</t>
        </is>
      </c>
      <c r="I397" t="inlineStr">
        <is>
          <t>งานประจำวัน</t>
        </is>
      </c>
      <c r="J397" t="inlineStr">
        <is>
          <t>Done</t>
        </is>
      </c>
      <c r="K397"/>
      <c r="L397" s="3"/>
      <c r="M397" t="inlineStr">
        <is>
          <t>1</t>
        </is>
      </c>
      <c r="N397" t="inlineStr">
        <is>
          <t>ทั่วไป</t>
        </is>
      </c>
      <c r="O397"/>
    </row>
    <row r="398" ht="12.75" customHeight="1">
      <c r="A398" t="inlineStr">
        <is>
          <t xml:space="preserve">Nothing Phone (4a) เตรียมอัปเกรดหน่วยความจำ แต่ราคาอาจสูงขึ้น </t>
        </is>
      </c>
      <c r="B398" t="inlineStr">
        <is>
          <t>Saktaphat Kordjan</t>
        </is>
      </c>
      <c r="C398" s="2">
        <v>46037</v>
      </c>
      <c r="D398" s="2">
        <v>46037</v>
      </c>
      <c r="E398"/>
      <c r="F398" s="3"/>
      <c r="G398"/>
      <c r="H398" t="inlineStr">
        <is>
          <t>Website</t>
        </is>
      </c>
      <c r="I398" t="inlineStr">
        <is>
          <t>งานประจำวัน</t>
        </is>
      </c>
      <c r="J398" t="inlineStr">
        <is>
          <t>Done</t>
        </is>
      </c>
      <c r="K398"/>
      <c r="L398" s="3"/>
      <c r="M398" t="inlineStr">
        <is>
          <t>1</t>
        </is>
      </c>
      <c r="N398" t="inlineStr">
        <is>
          <t>Android</t>
        </is>
      </c>
      <c r="O398"/>
    </row>
    <row r="399" ht="12.75" customHeight="1">
      <c r="A399" t="inlineStr">
        <is>
          <t xml:space="preserve">Samsung Internet สำหรับ Windows เปิดให้ใช้งานทั่วโลกแล้ว </t>
        </is>
      </c>
      <c r="B399" t="inlineStr">
        <is>
          <t>Saktaphat Kordjan</t>
        </is>
      </c>
      <c r="C399" s="2">
        <v>46037</v>
      </c>
      <c r="D399" s="2">
        <v>46037</v>
      </c>
      <c r="E399"/>
      <c r="F399" s="3"/>
      <c r="G399"/>
      <c r="H399" t="inlineStr">
        <is>
          <t>Website</t>
        </is>
      </c>
      <c r="I399" t="inlineStr">
        <is>
          <t>งานประจำวัน</t>
        </is>
      </c>
      <c r="J399" t="inlineStr">
        <is>
          <t>Done</t>
        </is>
      </c>
      <c r="K399"/>
      <c r="L399" s="3"/>
      <c r="M399" t="inlineStr">
        <is>
          <t>1</t>
        </is>
      </c>
      <c r="N399" t="inlineStr">
        <is>
          <t>Android</t>
        </is>
      </c>
      <c r="O399"/>
    </row>
    <row r="400" ht="12.75" customHeight="1">
      <c r="A400" t="inlineStr">
        <is>
          <t>ช้อปออนไลน์ยังไงไม่ให้โดนแฮก? 5 วิธีผูกบัตรเครดิตกับแอปฯ ให้ปลอดภัยที่สุด</t>
        </is>
      </c>
      <c r="B400" t="inlineStr">
        <is>
          <t>Sasithakan Sritonthip</t>
        </is>
      </c>
      <c r="C400" s="2">
        <v>46037</v>
      </c>
      <c r="D400" s="2">
        <v>46037</v>
      </c>
      <c r="E400" t="inlineStr">
        <is>
          <t>ปกติ</t>
        </is>
      </c>
      <c r="F400" s="3"/>
      <c r="G400" t="inlineStr">
        <is>
          <t>ช้อปออนไลน์ยังไงไม่ให้โดนแฮก_Done.docx</t>
        </is>
      </c>
      <c r="H400" t="inlineStr">
        <is>
          <t>Website</t>
        </is>
      </c>
      <c r="I400" t="inlineStr">
        <is>
          <t>งานลูกค้า</t>
        </is>
      </c>
      <c r="J400" t="inlineStr">
        <is>
          <t>Done</t>
        </is>
      </c>
      <c r="K400"/>
      <c r="L400" s="3" t="str">
        <f>=HYPERLINK("https://www.iphonemod.net/kct-5-ways-safe-online-shopping-credit-card.html", "https://www.iphonemod.net/kct-5-ways-safe-online-shopping-credit-card.html")</f>
        <v>https://www.iphonemod.net/kct-5-ways-safe-online-shopping-credit-card.html</v>
      </c>
      <c r="M400" t="inlineStr">
        <is>
          <t>1</t>
        </is>
      </c>
      <c r="N400" t="inlineStr">
        <is>
          <t>ลูกค้า</t>
        </is>
      </c>
      <c r="O400" t="inlineStr">
        <is>
          <t>KTC</t>
        </is>
      </c>
    </row>
    <row r="401" ht="12.75" customHeight="1">
      <c r="A401" t="inlineStr">
        <is>
          <t>Apple Creator Studio มี AI ให้ใช้</t>
        </is>
      </c>
      <c r="B401" t="inlineStr">
        <is>
          <t>Nattida Suriyodara</t>
        </is>
      </c>
      <c r="C401" s="2">
        <v>46036</v>
      </c>
      <c r="D401" s="2">
        <v>46036</v>
      </c>
      <c r="E401"/>
      <c r="F401" s="3"/>
      <c r="G401"/>
      <c r="H401" t="inlineStr">
        <is>
          <t>Website, Shorts</t>
        </is>
      </c>
      <c r="I401" t="inlineStr">
        <is>
          <t>งานประจำวัน</t>
        </is>
      </c>
      <c r="J401" t="inlineStr">
        <is>
          <t>Done</t>
        </is>
      </c>
      <c r="K401"/>
      <c r="L401" s="3"/>
      <c r="M401" t="inlineStr">
        <is>
          <t>1</t>
        </is>
      </c>
      <c r="N401" t="inlineStr">
        <is>
          <t>Apple</t>
        </is>
      </c>
      <c r="O401"/>
    </row>
    <row r="402" ht="12.75" customHeight="1">
      <c r="A402" t="inlineStr">
        <is>
          <t>Apple Creators Studio</t>
        </is>
      </c>
      <c r="B402" t="inlineStr">
        <is>
          <t>Thitirath Kinaret,Sasithakan Sritonthip</t>
        </is>
      </c>
      <c r="C402" s="2">
        <v>46036</v>
      </c>
      <c r="D402" s="2">
        <v>46036</v>
      </c>
      <c r="E402" t="inlineStr">
        <is>
          <t>ปกติ</t>
        </is>
      </c>
      <c r="F402" s="3" t="str">
        <f>=HYPERLINK("https://www.iphonemod.net/apple-announce-apple-creator-studio.html", "https://www.iphonemod.net/apple-announce-apple-creator-studio.html")</f>
        <v>https://www.iphonemod.net/apple-announce-apple-creator-studio.html</v>
      </c>
      <c r="G402"/>
      <c r="H402" t="inlineStr">
        <is>
          <t>Shorts</t>
        </is>
      </c>
      <c r="I402" t="inlineStr">
        <is>
          <t>งานประจำวัน</t>
        </is>
      </c>
      <c r="J402" t="inlineStr">
        <is>
          <t>Done</t>
        </is>
      </c>
      <c r="K402" t="inlineStr">
        <is>
          <t>https://www.apple.com/th/newsroom/2026/01/introducing-apple-creator-studio-an-inspiring-collection-of-creative-apps/</t>
        </is>
      </c>
      <c r="L402" s="3"/>
      <c r="M402" t="inlineStr">
        <is>
          <t>1</t>
        </is>
      </c>
      <c r="N402" t="inlineStr">
        <is>
          <t>Apple</t>
        </is>
      </c>
      <c r="O402"/>
    </row>
    <row r="403" ht="12.75" customHeight="1">
      <c r="A403" t="inlineStr">
        <is>
          <t>Shazam เผยเพลย์ลิสต์ Fast Forward ศิลปินเพลงดาวรุ่งปี 2026</t>
        </is>
      </c>
      <c r="B403" t="inlineStr">
        <is>
          <t>Sasithakan Sritonthip</t>
        </is>
      </c>
      <c r="C403" s="2">
        <v>46036</v>
      </c>
      <c r="D403" s="2">
        <v>46036</v>
      </c>
      <c r="E403" t="inlineStr">
        <is>
          <t>ปกติ</t>
        </is>
      </c>
      <c r="F403" s="3" t="str">
        <f>=HYPERLINK("https://www.macrumors.com/2026/01/13/shazam-fast-forward-2026-playlist/", "https://www.macrumors.com/2026/01/13/shazam-fast-forward-2026-playlist/")</f>
        <v>https://www.macrumors.com/2026/01/13/shazam-fast-forward-2026-playlist/</v>
      </c>
      <c r="G403"/>
      <c r="H403" t="inlineStr">
        <is>
          <t>Website</t>
        </is>
      </c>
      <c r="I403" t="inlineStr">
        <is>
          <t>งานประจำวัน</t>
        </is>
      </c>
      <c r="J403" t="inlineStr">
        <is>
          <t>Done</t>
        </is>
      </c>
      <c r="K403"/>
      <c r="L403" s="3" t="str">
        <f>=HYPERLINK("https://www.iphonemod.net/shazams-fast-forward-playlist-reveals-music-artists-set-to-rise-in-2026.html", "https://www.iphonemod.net/shazams-fast-forward-playlist-reveals-music-artists-set-to-rise-in-2026.html")</f>
        <v>https://www.iphonemod.net/shazams-fast-forward-playlist-reveals-music-artists-set-to-rise-in-2026.html</v>
      </c>
      <c r="M403" t="inlineStr">
        <is>
          <t>1</t>
        </is>
      </c>
      <c r="N403" t="inlineStr">
        <is>
          <t>Apple</t>
        </is>
      </c>
      <c r="O403"/>
    </row>
    <row r="404" ht="12.75" customHeight="1">
      <c r="A404" t="inlineStr">
        <is>
          <t>Apple ชูจุดเด่นการกันรอยขีดข่วนของหน้าจอ iPhone 17 Pro ในโฆษณาใหม่ "Slide"</t>
        </is>
      </c>
      <c r="B404" t="inlineStr">
        <is>
          <t>Sasithakan Sritonthip</t>
        </is>
      </c>
      <c r="C404" s="2">
        <v>46036</v>
      </c>
      <c r="D404" s="2">
        <v>46036</v>
      </c>
      <c r="E404" t="inlineStr">
        <is>
          <t>ปกติ</t>
        </is>
      </c>
      <c r="F404" s="3" t="str">
        <f>=HYPERLINK("https://www.macrumors.com/2026/01/13/iphone-17-slide-ad/", "https://www.macrumors.com/2026/01/13/iphone-17-slide-ad/")</f>
        <v>https://www.macrumors.com/2026/01/13/iphone-17-slide-ad/</v>
      </c>
      <c r="G404"/>
      <c r="H404" t="inlineStr">
        <is>
          <t>Website</t>
        </is>
      </c>
      <c r="I404" t="inlineStr">
        <is>
          <t>งานประจำวัน</t>
        </is>
      </c>
      <c r="J404" t="inlineStr">
        <is>
          <t>Done</t>
        </is>
      </c>
      <c r="K404"/>
      <c r="L404" s="3" t="str">
        <f>=HYPERLINK("https://www.iphonemod.net/apple-highlights-key-iphone-17-and-17-pro-hardware-upgrade-in-new-ad.html", "https://www.iphonemod.net/apple-highlights-key-iphone-17-and-17-pro-hardware-upgrade-in-new-ad.html")</f>
        <v>https://www.iphonemod.net/apple-highlights-key-iphone-17-and-17-pro-hardware-upgrade-in-new-ad.html</v>
      </c>
      <c r="M404" t="inlineStr">
        <is>
          <t>1</t>
        </is>
      </c>
      <c r="N404" t="inlineStr">
        <is>
          <t>Apple</t>
        </is>
      </c>
      <c r="O404"/>
    </row>
    <row r="405" ht="12.75" customHeight="1">
      <c r="A405" t="inlineStr">
        <is>
          <t xml:space="preserve">สว. US ร้องให้ถอด X และ Grok </t>
        </is>
      </c>
      <c r="B405" t="inlineStr">
        <is>
          <t>Krongkwun  Rithiwong</t>
        </is>
      </c>
      <c r="C405" s="2">
        <v>46035</v>
      </c>
      <c r="D405" s="2">
        <v>46035</v>
      </c>
      <c r="E405" t="inlineStr">
        <is>
          <t>ปกติ</t>
        </is>
      </c>
      <c r="F405" s="3"/>
      <c r="G405"/>
      <c r="H405" t="inlineStr">
        <is>
          <t>Shorts</t>
        </is>
      </c>
      <c r="I405" t="inlineStr">
        <is>
          <t>งานประจำวัน</t>
        </is>
      </c>
      <c r="J405" t="inlineStr">
        <is>
          <t>Done</t>
        </is>
      </c>
      <c r="K405"/>
      <c r="L405" s="3"/>
      <c r="M405" t="inlineStr">
        <is>
          <t>1</t>
        </is>
      </c>
      <c r="N405" t="inlineStr">
        <is>
          <t>AI</t>
        </is>
      </c>
      <c r="O405"/>
    </row>
    <row r="406" ht="12.75" customHeight="1">
      <c r="A406" t="inlineStr">
        <is>
          <t>Apple ขึ้นแท่นสมาร์ทโฟนอันดับ 1 2025</t>
        </is>
      </c>
      <c r="B406" t="inlineStr">
        <is>
          <t>Krongkwun  Rithiwong</t>
        </is>
      </c>
      <c r="C406" s="2">
        <v>46035</v>
      </c>
      <c r="D406" s="2">
        <v>46035</v>
      </c>
      <c r="E406" t="inlineStr">
        <is>
          <t>ปกติ</t>
        </is>
      </c>
      <c r="F406" s="3"/>
      <c r="G406"/>
      <c r="H406" t="inlineStr">
        <is>
          <t>Shorts</t>
        </is>
      </c>
      <c r="I406" t="inlineStr">
        <is>
          <t>งานประจำวัน</t>
        </is>
      </c>
      <c r="J406" t="inlineStr">
        <is>
          <t>Done</t>
        </is>
      </c>
      <c r="K406"/>
      <c r="L406" s="3"/>
      <c r="M406" t="inlineStr">
        <is>
          <t>1</t>
        </is>
      </c>
      <c r="N406" t="inlineStr">
        <is>
          <t>Apple</t>
        </is>
      </c>
      <c r="O406"/>
    </row>
    <row r="407" ht="12.75" customHeight="1">
      <c r="A407" t="inlineStr">
        <is>
          <t>Apple จับมือ Google นำ Gemini มาวางรากฐาน</t>
        </is>
      </c>
      <c r="B407" t="inlineStr">
        <is>
          <t>Thitirath Kinaret,Sasithakan Sritonthip</t>
        </is>
      </c>
      <c r="C407" s="2">
        <v>46035</v>
      </c>
      <c r="D407" s="2">
        <v>46035</v>
      </c>
      <c r="E407" t="inlineStr">
        <is>
          <t>ปกติ</t>
        </is>
      </c>
      <c r="F407" s="3" t="str">
        <f>=HYPERLINK("https://www.iphonemod.net/apple-confirms-googles-gemini-will-power-new-siri-features.html", "https://www.iphonemod.net/apple-confirms-googles-gemini-will-power-new-siri-features.html")</f>
        <v>https://www.iphonemod.net/apple-confirms-googles-gemini-will-power-new-siri-features.html</v>
      </c>
      <c r="G407"/>
      <c r="H407" t="inlineStr">
        <is>
          <t>Shorts</t>
        </is>
      </c>
      <c r="I407" t="inlineStr">
        <is>
          <t>งานประจำวัน</t>
        </is>
      </c>
      <c r="J407" t="inlineStr">
        <is>
          <t>Done</t>
        </is>
      </c>
      <c r="K407"/>
      <c r="L407" s="3"/>
      <c r="M407" t="inlineStr">
        <is>
          <t>1</t>
        </is>
      </c>
      <c r="N407" t="inlineStr">
        <is>
          <t>Apple, Android, AI</t>
        </is>
      </c>
      <c r="O407"/>
    </row>
    <row r="408" ht="12.75" customHeight="1">
      <c r="A408" t="inlineStr">
        <is>
          <t>Google ร่วมมือกับ Walmart พัฒนาการช็อปปิงออนไลน์ด้วย Gemini</t>
        </is>
      </c>
      <c r="B408" t="inlineStr">
        <is>
          <t>Sasithakan Sritonthip</t>
        </is>
      </c>
      <c r="C408" s="2">
        <v>46035</v>
      </c>
      <c r="D408" s="2">
        <v>46035</v>
      </c>
      <c r="E408" t="inlineStr">
        <is>
          <t>ปกติ</t>
        </is>
      </c>
      <c r="F408" s="3" t="str">
        <f>=HYPERLINK("https://9to5google.com/2026/01/12/google-and-walmart-partner-to-bring-ai-shopping-recommendations-to-gemini/", "https://9to5google.com/2026/01/12/google-and-walmart-partner-to-bring-ai-shopping-recommendations-to-gemini/")</f>
        <v>https://9to5google.com/2026/01/12/google-and-walmart-partner-to-bring-ai-shopping-recommendations-to-gemini/</v>
      </c>
      <c r="G408"/>
      <c r="H408" t="inlineStr">
        <is>
          <t>Website</t>
        </is>
      </c>
      <c r="I408" t="inlineStr">
        <is>
          <t>งานประจำวัน</t>
        </is>
      </c>
      <c r="J408" t="inlineStr">
        <is>
          <t>Done</t>
        </is>
      </c>
      <c r="K408"/>
      <c r="L408" s="3" t="str">
        <f>=HYPERLINK("https://www.iphonemod.net/google-and-walmart-partner-to-bring-ai-shopping-recommendations-to-gemini.html", "https://www.iphonemod.net/google-and-walmart-partner-to-bring-ai-shopping-recommendations-to-gemini.html")</f>
        <v>https://www.iphonemod.net/google-and-walmart-partner-to-bring-ai-shopping-recommendations-to-gemini.html</v>
      </c>
      <c r="M408" t="inlineStr">
        <is>
          <t>1</t>
        </is>
      </c>
      <c r="N408" t="inlineStr">
        <is>
          <t>AI, Tech</t>
        </is>
      </c>
      <c r="O408"/>
    </row>
    <row r="409" ht="12.75" customHeight="1">
      <c r="A409" t="inlineStr">
        <is>
          <t>Apple เผยภาพรวมความสำเร็จ การให้บริการด้านต่าง ๆ ประจำปี 2025</t>
        </is>
      </c>
      <c r="B409" t="inlineStr">
        <is>
          <t>Sasithakan Sritonthip</t>
        </is>
      </c>
      <c r="C409" s="2">
        <v>46035</v>
      </c>
      <c r="D409" s="2">
        <v>46035</v>
      </c>
      <c r="E409" t="inlineStr">
        <is>
          <t>ปกติ</t>
        </is>
      </c>
      <c r="F409" s="3" t="str">
        <f>=HYPERLINK("https://www.apple.com/th/newsroom/2026/01/2025-marked-a-record-breaking-year-for-apple-services/", "https://www.apple.com/th/newsroom/2026/01/2025-marked-a-record-breaking-year-for-apple-services/")</f>
        <v>https://www.apple.com/th/newsroom/2026/01/2025-marked-a-record-breaking-year-for-apple-services/</v>
      </c>
      <c r="G409"/>
      <c r="H409" t="inlineStr">
        <is>
          <t>Website</t>
        </is>
      </c>
      <c r="I409" t="inlineStr">
        <is>
          <t>งานประจำวัน</t>
        </is>
      </c>
      <c r="J409" t="inlineStr">
        <is>
          <t>Done</t>
        </is>
      </c>
      <c r="K409"/>
      <c r="L409" s="3" t="str">
        <f>=HYPERLINK("https://www.iphonemod.net/apple-2025-maked-record-year-for-apple-services.html", "https://www.iphonemod.net/apple-2025-maked-record-year-for-apple-services.html")</f>
        <v>https://www.iphonemod.net/apple-2025-maked-record-year-for-apple-services.html</v>
      </c>
      <c r="M409" t="inlineStr">
        <is>
          <t>1</t>
        </is>
      </c>
      <c r="N409" t="inlineStr">
        <is>
          <t>Apple</t>
        </is>
      </c>
      <c r="O409"/>
    </row>
    <row r="410" ht="12.75" customHeight="1">
      <c r="A410" t="inlineStr">
        <is>
          <t xml:space="preserve">รวม Q&amp;A Apple Watch </t>
        </is>
      </c>
      <c r="B410" t="inlineStr">
        <is>
          <t>Nattida Suriyodara</t>
        </is>
      </c>
      <c r="C410" s="2">
        <v>46035</v>
      </c>
      <c r="D410" s="2">
        <v>46035</v>
      </c>
      <c r="E410"/>
      <c r="F410" s="3"/>
      <c r="G410"/>
      <c r="H410" t="inlineStr">
        <is>
          <t>YouTube, Shorts</t>
        </is>
      </c>
      <c r="I410" t="inlineStr">
        <is>
          <t>งานประจำวัน</t>
        </is>
      </c>
      <c r="J410" t="inlineStr">
        <is>
          <t>To-Do</t>
        </is>
      </c>
      <c r="K410"/>
      <c r="L410" s="3"/>
      <c r="M410" t="inlineStr">
        <is>
          <t>0</t>
        </is>
      </c>
      <c r="N410" t="inlineStr">
        <is>
          <t>Apple</t>
        </is>
      </c>
      <c r="O410"/>
    </row>
    <row r="411" ht="12.75" customHeight="1">
      <c r="A411" t="inlineStr">
        <is>
          <t>WhatsApp ทดสอบฟีเจอร์แนะนำสติกเกอร์ตามอิโมจิบน iOS</t>
        </is>
      </c>
      <c r="B411" t="inlineStr">
        <is>
          <t>Sasithakan Sritonthip</t>
        </is>
      </c>
      <c r="C411" s="2">
        <v>46035</v>
      </c>
      <c r="D411" s="2">
        <v>46035</v>
      </c>
      <c r="E411" t="inlineStr">
        <is>
          <t>ปกติ</t>
        </is>
      </c>
      <c r="F411" s="3" t="str">
        <f>=HYPERLINK("https://9to5mac.com/2026/01/12/whatsapp-testing-emoji-based-sticker-suggestions-on-ios/", "https://9to5mac.com/2026/01/12/whatsapp-testing-emoji-based-sticker-suggestions-on-ios/")</f>
        <v>https://9to5mac.com/2026/01/12/whatsapp-testing-emoji-based-sticker-suggestions-on-ios/</v>
      </c>
      <c r="G411"/>
      <c r="H411" t="inlineStr">
        <is>
          <t>Website</t>
        </is>
      </c>
      <c r="I411" t="inlineStr">
        <is>
          <t>งานประจำวัน</t>
        </is>
      </c>
      <c r="J411" t="inlineStr">
        <is>
          <t>Done</t>
        </is>
      </c>
      <c r="K411"/>
      <c r="L411" s="3"/>
      <c r="M411" t="inlineStr">
        <is>
          <t>1</t>
        </is>
      </c>
      <c r="N411" t="inlineStr">
        <is>
          <t>Tech, Apple</t>
        </is>
      </c>
      <c r="O411"/>
    </row>
    <row r="412" ht="12.75" customHeight="1">
      <c r="A412" t="inlineStr">
        <is>
          <t>Samsung X Netflix ธีม Stranger Things</t>
        </is>
      </c>
      <c r="B412" t="inlineStr">
        <is>
          <t>Saktaphat Kordjan</t>
        </is>
      </c>
      <c r="C412" s="2">
        <v>46035</v>
      </c>
      <c r="D412" s="2">
        <v>46035</v>
      </c>
      <c r="E412"/>
      <c r="F412" s="3"/>
      <c r="G412"/>
      <c r="H412" t="inlineStr">
        <is>
          <t>Pic Posts / Album, Website, Shorts</t>
        </is>
      </c>
      <c r="I412" t="inlineStr">
        <is>
          <t>เสนอไอเดีย</t>
        </is>
      </c>
      <c r="J412" t="inlineStr">
        <is>
          <t>Done</t>
        </is>
      </c>
      <c r="K412"/>
      <c r="L412" s="3"/>
      <c r="M412" t="inlineStr">
        <is>
          <t>1</t>
        </is>
      </c>
      <c r="N412" t="inlineStr">
        <is>
          <t>Android, ทั่วไป</t>
        </is>
      </c>
      <c r="O412"/>
    </row>
    <row r="413" ht="12.75" customHeight="1">
      <c r="A413" t="inlineStr">
        <is>
          <t>หลุดเคส Galaxy S26 Ultra เผยให้เห็นดีไซน์ตัวเครื่อง</t>
        </is>
      </c>
      <c r="B413" t="inlineStr">
        <is>
          <t>Saktaphat Kordjan</t>
        </is>
      </c>
      <c r="C413" s="2">
        <v>46035</v>
      </c>
      <c r="D413" s="2">
        <v>46035</v>
      </c>
      <c r="E413"/>
      <c r="F413" s="3"/>
      <c r="G413"/>
      <c r="H413" t="inlineStr">
        <is>
          <t>Website</t>
        </is>
      </c>
      <c r="I413" t="inlineStr">
        <is>
          <t>งานประจำวัน</t>
        </is>
      </c>
      <c r="J413" t="inlineStr">
        <is>
          <t>Done</t>
        </is>
      </c>
      <c r="K413"/>
      <c r="L413" s="3"/>
      <c r="M413" t="inlineStr">
        <is>
          <t>1</t>
        </is>
      </c>
      <c r="N413" t="inlineStr">
        <is>
          <t>Android</t>
        </is>
      </c>
      <c r="O413"/>
    </row>
    <row r="414" ht="12.75" customHeight="1">
      <c r="A414" t="inlineStr">
        <is>
          <t>iQOO Z11 Turbo อาจมาพร้อม กล้องหน้า 32MP, Lossless Zoom 4x</t>
        </is>
      </c>
      <c r="B414" t="inlineStr">
        <is>
          <t>Saktaphat Kordjan</t>
        </is>
      </c>
      <c r="C414" s="2">
        <v>46035</v>
      </c>
      <c r="D414" s="2">
        <v>46035</v>
      </c>
      <c r="E414"/>
      <c r="F414" s="3"/>
      <c r="G414"/>
      <c r="H414" t="inlineStr">
        <is>
          <t>Website</t>
        </is>
      </c>
      <c r="I414" t="inlineStr">
        <is>
          <t>งานประจำวัน</t>
        </is>
      </c>
      <c r="J414" t="inlineStr">
        <is>
          <t>Done</t>
        </is>
      </c>
      <c r="K414"/>
      <c r="L414" s="3"/>
      <c r="M414" t="inlineStr">
        <is>
          <t>1</t>
        </is>
      </c>
      <c r="N414" t="inlineStr">
        <is>
          <t>Android</t>
        </is>
      </c>
      <c r="O414"/>
    </row>
    <row r="415" ht="12.75" customHeight="1">
      <c r="A415" t="inlineStr">
        <is>
          <t>DJI Robomaster S1 โดรนภาคพื้นดินแบบติดตั้งโปรแกรมรุ่นใหม่</t>
        </is>
      </c>
      <c r="B415" t="inlineStr">
        <is>
          <t>Saktaphat Kordjan</t>
        </is>
      </c>
      <c r="C415" s="2">
        <v>46035</v>
      </c>
      <c r="D415" s="2">
        <v>46035</v>
      </c>
      <c r="E415"/>
      <c r="F415" s="3"/>
      <c r="G415"/>
      <c r="H415" t="inlineStr">
        <is>
          <t>Website</t>
        </is>
      </c>
      <c r="I415" t="inlineStr">
        <is>
          <t>งานประจำวัน</t>
        </is>
      </c>
      <c r="J415" t="inlineStr">
        <is>
          <t>Done</t>
        </is>
      </c>
      <c r="K415"/>
      <c r="L415" s="3"/>
      <c r="M415" t="inlineStr">
        <is>
          <t>1</t>
        </is>
      </c>
      <c r="N415" t="inlineStr">
        <is>
          <t>Tech</t>
        </is>
      </c>
      <c r="O415"/>
    </row>
    <row r="416" ht="12.75" customHeight="1">
      <c r="A416" t="inlineStr">
        <is>
          <t>ส.ว. สหรัฐ สั่งถอดแอป x, Grok</t>
        </is>
      </c>
      <c r="B416" t="inlineStr">
        <is>
          <t>Nattida Suriyodara</t>
        </is>
      </c>
      <c r="C416" s="2">
        <v>46034</v>
      </c>
      <c r="D416" s="2">
        <v>46034</v>
      </c>
      <c r="E416"/>
      <c r="F416" s="3"/>
      <c r="G416"/>
      <c r="H416" t="inlineStr">
        <is>
          <t>Website, Pic Posts / Album</t>
        </is>
      </c>
      <c r="I416" t="inlineStr">
        <is>
          <t>งานประจำวัน</t>
        </is>
      </c>
      <c r="J416" t="inlineStr">
        <is>
          <t>Done</t>
        </is>
      </c>
      <c r="K416"/>
      <c r="L416" s="3"/>
      <c r="M416" t="inlineStr">
        <is>
          <t>1</t>
        </is>
      </c>
      <c r="N416" t="inlineStr">
        <is>
          <t>AI</t>
        </is>
      </c>
      <c r="O416"/>
    </row>
    <row r="417" ht="12.75" customHeight="1">
      <c r="A417" t="inlineStr">
        <is>
          <t>Apple Watch ชนะข้อพิพาทอีกรอบ</t>
        </is>
      </c>
      <c r="B417" t="inlineStr">
        <is>
          <t>Nattida Suriyodara</t>
        </is>
      </c>
      <c r="C417" s="2">
        <v>46034</v>
      </c>
      <c r="D417" s="2">
        <v>46034</v>
      </c>
      <c r="E417"/>
      <c r="F417" s="3"/>
      <c r="G417"/>
      <c r="H417" t="inlineStr">
        <is>
          <t>Website</t>
        </is>
      </c>
      <c r="I417" t="inlineStr">
        <is>
          <t>งานประจำวัน</t>
        </is>
      </c>
      <c r="J417" t="inlineStr">
        <is>
          <t>Done</t>
        </is>
      </c>
      <c r="K417"/>
      <c r="L417" s="3"/>
      <c r="M417" t="inlineStr">
        <is>
          <t>1</t>
        </is>
      </c>
      <c r="N417" t="inlineStr">
        <is>
          <t>Apple</t>
        </is>
      </c>
      <c r="O417"/>
    </row>
    <row r="418" ht="12.75" customHeight="1">
      <c r="A418" t="inlineStr">
        <is>
          <t>สรุป CES 2026 มีอะไรที่เราชอบบ้าง</t>
        </is>
      </c>
      <c r="B418" t="inlineStr">
        <is>
          <t>Krongkwun  Rithiwong,Thitirath Kinaret</t>
        </is>
      </c>
      <c r="C418" s="2">
        <v>46034</v>
      </c>
      <c r="D418" s="2">
        <v>46034</v>
      </c>
      <c r="E418" t="inlineStr">
        <is>
          <t>ปกติ</t>
        </is>
      </c>
      <c r="F418" s="3"/>
      <c r="G418"/>
      <c r="H418" t="inlineStr">
        <is>
          <t>YouTube</t>
        </is>
      </c>
      <c r="I418" t="inlineStr">
        <is>
          <t>งานประจำวัน</t>
        </is>
      </c>
      <c r="J418" t="inlineStr">
        <is>
          <t>Done</t>
        </is>
      </c>
      <c r="K418"/>
      <c r="L418" s="3"/>
      <c r="M418" t="inlineStr">
        <is>
          <t>1</t>
        </is>
      </c>
      <c r="N418" t="inlineStr">
        <is>
          <t>Tech</t>
        </is>
      </c>
      <c r="O418"/>
    </row>
    <row r="419" ht="12.75" customHeight="1">
      <c r="A419" t="inlineStr">
        <is>
          <t>ข้อมูลผู้ใช้ IG หลุด 17.5 ล้านราย</t>
        </is>
      </c>
      <c r="B419" t="inlineStr">
        <is>
          <t>Thitirath Kinaret,Sasithakan Sritonthip</t>
        </is>
      </c>
      <c r="C419" s="2">
        <v>46034</v>
      </c>
      <c r="D419" s="2">
        <v>46034</v>
      </c>
      <c r="E419" t="inlineStr">
        <is>
          <t>ปกติ</t>
        </is>
      </c>
      <c r="F419" s="3" t="str">
        <f>=HYPERLINK("https://www.iphonemod.net/instagram-data-breach-reportedly-exposed-the-personal-info-of-175-million-users.html", "https://www.iphonemod.net/instagram-data-breach-reportedly-exposed-the-personal-info-of-175-million-users.html")</f>
        <v>https://www.iphonemod.net/instagram-data-breach-reportedly-exposed-the-personal-info-of-175-million-users.html</v>
      </c>
      <c r="G419"/>
      <c r="H419" t="inlineStr">
        <is>
          <t>Shorts</t>
        </is>
      </c>
      <c r="I419" t="inlineStr">
        <is>
          <t>งานประจำวัน</t>
        </is>
      </c>
      <c r="J419" t="inlineStr">
        <is>
          <t>Done</t>
        </is>
      </c>
      <c r="K419"/>
      <c r="L419" s="3"/>
      <c r="M419" t="inlineStr">
        <is>
          <t>1</t>
        </is>
      </c>
      <c r="N419" t="inlineStr">
        <is>
          <t>Tech</t>
        </is>
      </c>
      <c r="O419"/>
    </row>
    <row r="420" ht="12.75" customHeight="1">
      <c r="A420" t="inlineStr">
        <is>
          <t>Google Maps ปรับปรุงหน้าจอการตั้งค่าบน Android ครั้งใหญ่</t>
        </is>
      </c>
      <c r="B420" t="inlineStr">
        <is>
          <t>Sasithakan Sritonthip</t>
        </is>
      </c>
      <c r="C420" s="2">
        <v>46034</v>
      </c>
      <c r="D420" s="2">
        <v>46034</v>
      </c>
      <c r="E420" t="inlineStr">
        <is>
          <t>ปกติ</t>
        </is>
      </c>
      <c r="F420" s="3" t="str">
        <f>=HYPERLINK("https://9to5google.com/2026/01/09/google-maps-settings-redesign/", "https://9to5google.com/2026/01/09/google-maps-settings-redesign/")</f>
        <v>https://9to5google.com/2026/01/09/google-maps-settings-redesign/</v>
      </c>
      <c r="G420"/>
      <c r="H420" t="inlineStr">
        <is>
          <t>Website</t>
        </is>
      </c>
      <c r="I420" t="inlineStr">
        <is>
          <t>งานประจำวัน</t>
        </is>
      </c>
      <c r="J420" t="inlineStr">
        <is>
          <t>Done</t>
        </is>
      </c>
      <c r="K420"/>
      <c r="L420" s="3" t="str">
        <f>=HYPERLINK("https://www.iphonemod.net/google-maps-finally-redesigns-settings-on-android.html", "https://www.iphonemod.net/google-maps-finally-redesigns-settings-on-android.html")</f>
        <v>https://www.iphonemod.net/google-maps-finally-redesigns-settings-on-android.html</v>
      </c>
      <c r="M420" t="inlineStr">
        <is>
          <t>1</t>
        </is>
      </c>
      <c r="N420" t="inlineStr">
        <is>
          <t>Android</t>
        </is>
      </c>
      <c r="O420"/>
    </row>
    <row r="421" ht="12.75" customHeight="1">
      <c r="A421" t="inlineStr">
        <is>
          <t>YouTube TV ปรับโฉม Live Guide บน Android และ iOS</t>
        </is>
      </c>
      <c r="B421" t="inlineStr">
        <is>
          <t>Sasithakan Sritonthip</t>
        </is>
      </c>
      <c r="C421" s="2">
        <v>46034</v>
      </c>
      <c r="D421" s="2">
        <v>46034</v>
      </c>
      <c r="E421" t="inlineStr">
        <is>
          <t>ปกติ</t>
        </is>
      </c>
      <c r="F421" s="3" t="str">
        <f>=HYPERLINK("https://9to5google.com/2026/01/11/youtube-tv-live-guide-redesign-2/", "https://9to5google.com/2026/01/11/youtube-tv-live-guide-redesign-2/")</f>
        <v>https://9to5google.com/2026/01/11/youtube-tv-live-guide-redesign-2/</v>
      </c>
      <c r="G421"/>
      <c r="H421" t="inlineStr">
        <is>
          <t>Website</t>
        </is>
      </c>
      <c r="I421" t="inlineStr">
        <is>
          <t>งานประจำวัน</t>
        </is>
      </c>
      <c r="J421" t="inlineStr">
        <is>
          <t>Done</t>
        </is>
      </c>
      <c r="K421"/>
      <c r="L421" s="3" t="str">
        <f>=HYPERLINK("https://www.iphonemod.net/youtube-tv-rolls-out-live-guide-redesign-on-android-ios.html", "https://www.iphonemod.net/youtube-tv-rolls-out-live-guide-redesign-on-android-ios.html")</f>
        <v>https://www.iphonemod.net/youtube-tv-rolls-out-live-guide-redesign-on-android-ios.html</v>
      </c>
      <c r="M421" t="inlineStr">
        <is>
          <t>1</t>
        </is>
      </c>
      <c r="N421" t="inlineStr">
        <is>
          <t>Tech</t>
        </is>
      </c>
      <c r="O421"/>
    </row>
    <row r="422" ht="12.75" customHeight="1">
      <c r="A422" t="inlineStr">
        <is>
          <t>วิธีประหยัดแบต Apple Watch</t>
        </is>
      </c>
      <c r="B422" t="inlineStr">
        <is>
          <t>Nattida Suriyodara</t>
        </is>
      </c>
      <c r="C422" s="2">
        <v>46034</v>
      </c>
      <c r="D422" s="2">
        <v>46034</v>
      </c>
      <c r="E422"/>
      <c r="F422" s="3"/>
      <c r="G422"/>
      <c r="H422" t="inlineStr">
        <is>
          <t>YouTube, Website</t>
        </is>
      </c>
      <c r="I422" t="inlineStr">
        <is>
          <t>งานประจำวัน</t>
        </is>
      </c>
      <c r="J422" t="inlineStr">
        <is>
          <t>Done</t>
        </is>
      </c>
      <c r="K422"/>
      <c r="L422" s="3"/>
      <c r="M422" t="inlineStr">
        <is>
          <t>1</t>
        </is>
      </c>
      <c r="N422" t="inlineStr">
        <is>
          <t>Apple</t>
        </is>
      </c>
      <c r="O422"/>
    </row>
    <row r="423" ht="12.75" customHeight="1">
      <c r="A423" t="inlineStr">
        <is>
          <t>ชิป A20 สำหรับ iPhone 18 Pro อาจแพงขึ้น</t>
        </is>
      </c>
      <c r="B423" t="inlineStr">
        <is>
          <t>Thitirath Kinaret,Sasithakan Sritonthip</t>
        </is>
      </c>
      <c r="C423" s="2">
        <v>46034</v>
      </c>
      <c r="D423" s="2">
        <v>46034</v>
      </c>
      <c r="E423" t="inlineStr">
        <is>
          <t>ปกติ</t>
        </is>
      </c>
      <c r="F423" s="3" t="str">
        <f>=HYPERLINK("https://www.iphonemod.net/apples-2nm-a20-chip-for-iphone-18-pro-to-cost-280-an-80-price-hike.html", "https://www.iphonemod.net/apples-2nm-a20-chip-for-iphone-18-pro-to-cost-280-an-80-price-hike.html")</f>
        <v>https://www.iphonemod.net/apples-2nm-a20-chip-for-iphone-18-pro-to-cost-280-an-80-price-hike.html</v>
      </c>
      <c r="G423"/>
      <c r="H423" t="inlineStr">
        <is>
          <t>Shorts</t>
        </is>
      </c>
      <c r="I423" t="inlineStr">
        <is>
          <t>งานประจำวัน</t>
        </is>
      </c>
      <c r="J423" t="inlineStr">
        <is>
          <t>Done</t>
        </is>
      </c>
      <c r="K423"/>
      <c r="L423" s="3"/>
      <c r="M423" t="inlineStr">
        <is>
          <t>1</t>
        </is>
      </c>
      <c r="N423" t="inlineStr">
        <is>
          <t>Apple</t>
        </is>
      </c>
      <c r="O423"/>
    </row>
    <row r="424" ht="12.75" customHeight="1">
      <c r="A424" t="inlineStr">
        <is>
          <t>แอป Google ปรับไอคอนบน Android ให้มีขนาดใหญ่ขึ้น</t>
        </is>
      </c>
      <c r="B424" t="inlineStr">
        <is>
          <t>Sasithakan Sritonthip</t>
        </is>
      </c>
      <c r="C424" s="2">
        <v>46034</v>
      </c>
      <c r="D424" s="2">
        <v>46034</v>
      </c>
      <c r="E424" t="inlineStr">
        <is>
          <t>ปกติ</t>
        </is>
      </c>
      <c r="F424" s="3" t="str">
        <f>=HYPERLINK("https://9to5google.com/2026/01/11/google-app-icon-size-tweak/", "https://9to5google.com/2026/01/11/google-app-icon-size-tweak/")</f>
        <v>https://9to5google.com/2026/01/11/google-app-icon-size-tweak/</v>
      </c>
      <c r="G424"/>
      <c r="H424" t="inlineStr">
        <is>
          <t>Website</t>
        </is>
      </c>
      <c r="I424" t="inlineStr">
        <is>
          <t>งานประจำวัน</t>
        </is>
      </c>
      <c r="J424" t="inlineStr">
        <is>
          <t>Done</t>
        </is>
      </c>
      <c r="K424"/>
      <c r="L424" s="3"/>
      <c r="M424" t="inlineStr">
        <is>
          <t>1</t>
        </is>
      </c>
      <c r="N424" t="inlineStr">
        <is>
          <t>Android</t>
        </is>
      </c>
      <c r="O424"/>
    </row>
    <row r="425" ht="12.75" customHeight="1">
      <c r="A425" t="inlineStr">
        <is>
          <t>Honor Magic8 RSR Porsche ยืนยันวันเปิดตัวและดีไซน์</t>
        </is>
      </c>
      <c r="B425" t="inlineStr">
        <is>
          <t>Saktaphat Kordjan</t>
        </is>
      </c>
      <c r="C425" s="2">
        <v>46034</v>
      </c>
      <c r="D425" s="2">
        <v>46034</v>
      </c>
      <c r="E425"/>
      <c r="F425" s="3"/>
      <c r="G425"/>
      <c r="H425" t="inlineStr">
        <is>
          <t>Website</t>
        </is>
      </c>
      <c r="I425" t="inlineStr">
        <is>
          <t>งานประจำวัน</t>
        </is>
      </c>
      <c r="J425" t="inlineStr">
        <is>
          <t>Done</t>
        </is>
      </c>
      <c r="K425"/>
      <c r="L425" s="3"/>
      <c r="M425" t="inlineStr">
        <is>
          <t>1</t>
        </is>
      </c>
      <c r="N425" t="inlineStr">
        <is>
          <t>Android</t>
        </is>
      </c>
      <c r="O425"/>
    </row>
    <row r="426" ht="12.75" customHeight="1">
      <c r="A426" t="inlineStr">
        <is>
          <t>Galaxy S26 คาดว่าจะขายหลังจบงาน Unpacked ประมาณ 2 สัปดาห์</t>
        </is>
      </c>
      <c r="B426" t="inlineStr">
        <is>
          <t>Saktaphat Kordjan</t>
        </is>
      </c>
      <c r="C426" s="2">
        <v>46034</v>
      </c>
      <c r="D426" s="2">
        <v>46034</v>
      </c>
      <c r="E426"/>
      <c r="F426" s="3"/>
      <c r="G426"/>
      <c r="H426" t="inlineStr">
        <is>
          <t>Website</t>
        </is>
      </c>
      <c r="I426" t="inlineStr">
        <is>
          <t>งานประจำวัน</t>
        </is>
      </c>
      <c r="J426" t="inlineStr">
        <is>
          <t>Done</t>
        </is>
      </c>
      <c r="K426"/>
      <c r="L426" s="3"/>
      <c r="M426" t="inlineStr">
        <is>
          <t>1</t>
        </is>
      </c>
      <c r="N426" t="inlineStr">
        <is>
          <t>Android</t>
        </is>
      </c>
      <c r="O426"/>
    </row>
    <row r="427" ht="12.75" customHeight="1">
      <c r="A427" t="inlineStr">
        <is>
          <t xml:space="preserve">S Pen Samsung Galaxy Tab S </t>
        </is>
      </c>
      <c r="B427" t="inlineStr">
        <is>
          <t>Saktaphat Kordjan</t>
        </is>
      </c>
      <c r="C427" s="2">
        <v>46034</v>
      </c>
      <c r="D427" s="2">
        <v>46034</v>
      </c>
      <c r="E427"/>
      <c r="F427" s="3"/>
      <c r="G427"/>
      <c r="H427" t="inlineStr">
        <is>
          <t>Shorts</t>
        </is>
      </c>
      <c r="I427" t="inlineStr">
        <is>
          <t>เสนอไอเดีย</t>
        </is>
      </c>
      <c r="J427" t="inlineStr">
        <is>
          <t>Done</t>
        </is>
      </c>
      <c r="K427"/>
      <c r="L427" s="3"/>
      <c r="M427" t="inlineStr">
        <is>
          <t>1</t>
        </is>
      </c>
      <c r="N427" t="inlineStr">
        <is>
          <t>Android</t>
        </is>
      </c>
      <c r="O427"/>
    </row>
    <row r="428" ht="12.75" customHeight="1">
      <c r="A428" t="inlineStr">
        <is>
          <t>Photo Album | App สำหรับเด็ก</t>
        </is>
      </c>
      <c r="B428" t="inlineStr">
        <is>
          <t>Krongkwun  Rithiwong,Tarn</t>
        </is>
      </c>
      <c r="C428" s="2">
        <v>46031</v>
      </c>
      <c r="D428" s="2">
        <v>46031</v>
      </c>
      <c r="E428" t="inlineStr">
        <is>
          <t>ปกติ</t>
        </is>
      </c>
      <c r="F428" s="3"/>
      <c r="G428"/>
      <c r="H428" t="inlineStr">
        <is>
          <t>Pic Posts / Album</t>
        </is>
      </c>
      <c r="I428" t="inlineStr">
        <is>
          <t>งานประจำวัน</t>
        </is>
      </c>
      <c r="J428" t="inlineStr">
        <is>
          <t>Done</t>
        </is>
      </c>
      <c r="K428"/>
      <c r="L428" s="3"/>
      <c r="M428" t="inlineStr">
        <is>
          <t>1</t>
        </is>
      </c>
      <c r="N428" t="inlineStr">
        <is>
          <t>Apple</t>
        </is>
      </c>
      <c r="O428"/>
    </row>
    <row r="429" ht="12.75" customHeight="1">
      <c r="A429" t="inlineStr">
        <is>
          <t>Tim Cook ซีอีโอ Apple มีรายได้รวมกว่า $74 ล้านดอลลาร์ในปี 2025</t>
        </is>
      </c>
      <c r="B429" t="inlineStr">
        <is>
          <t>Sasithakan Sritonthip</t>
        </is>
      </c>
      <c r="C429" s="2">
        <v>46031</v>
      </c>
      <c r="D429" s="2">
        <v>46031</v>
      </c>
      <c r="E429" t="inlineStr">
        <is>
          <t>ปกติ</t>
        </is>
      </c>
      <c r="F429" s="3" t="str">
        <f>=HYPERLINK("https://www.macrumors.com/2026/01/08/tim-cook-2025-salary/", "https://www.macrumors.com/2026/01/08/tim-cook-2025-salary/")</f>
        <v>https://www.macrumors.com/2026/01/08/tim-cook-2025-salary/</v>
      </c>
      <c r="G429"/>
      <c r="H429" t="inlineStr">
        <is>
          <t>Website</t>
        </is>
      </c>
      <c r="I429" t="inlineStr">
        <is>
          <t>งานประจำวัน</t>
        </is>
      </c>
      <c r="J429" t="inlineStr">
        <is>
          <t>Done</t>
        </is>
      </c>
      <c r="K429"/>
      <c r="L429" s="3" t="str">
        <f>=HYPERLINK("https://www.iphonemod.net/apple-ceo-tim-cook-earned-743-million-in-2025.html", "https://www.iphonemod.net/apple-ceo-tim-cook-earned-743-million-in-2025.html")</f>
        <v>https://www.iphonemod.net/apple-ceo-tim-cook-earned-743-million-in-2025.html</v>
      </c>
      <c r="M429" t="inlineStr">
        <is>
          <t>1</t>
        </is>
      </c>
      <c r="N429" t="inlineStr">
        <is>
          <t>Apple</t>
        </is>
      </c>
      <c r="O429"/>
    </row>
    <row r="430" ht="12.75" customHeight="1">
      <c r="A430" t="inlineStr">
        <is>
          <t>Google Fi เริ่มจำหน่ายแท็บเล็ต 5G เครื่องแรก</t>
        </is>
      </c>
      <c r="B430" t="inlineStr">
        <is>
          <t>Sasithakan Sritonthip</t>
        </is>
      </c>
      <c r="C430" s="2">
        <v>46031</v>
      </c>
      <c r="D430" s="2">
        <v>46031</v>
      </c>
      <c r="E430" t="inlineStr">
        <is>
          <t>ปกติ</t>
        </is>
      </c>
      <c r="F430" s="3" t="str">
        <f>=HYPERLINK("https://9to5google.com/2026/01/08/google-fi-store-tablet/", "https://9to5google.com/2026/01/08/google-fi-store-tablet/")</f>
        <v>https://9to5google.com/2026/01/08/google-fi-store-tablet/</v>
      </c>
      <c r="G430"/>
      <c r="H430" t="inlineStr">
        <is>
          <t>Website</t>
        </is>
      </c>
      <c r="I430" t="inlineStr">
        <is>
          <t>งานประจำวัน</t>
        </is>
      </c>
      <c r="J430" t="inlineStr">
        <is>
          <t>Done</t>
        </is>
      </c>
      <c r="K430"/>
      <c r="L430" s="3"/>
      <c r="M430" t="inlineStr">
        <is>
          <t>1</t>
        </is>
      </c>
      <c r="N430" t="inlineStr">
        <is>
          <t>Android</t>
        </is>
      </c>
      <c r="O430"/>
    </row>
    <row r="431" ht="12.75" customHeight="1">
      <c r="A431" t="inlineStr">
        <is>
          <t>iPhone Fold หน้าตาอาจคล้าย iPad mini มากกว่าโทรศัพท์</t>
        </is>
      </c>
      <c r="B431" t="inlineStr">
        <is>
          <t>Krongkwun  Rithiwong</t>
        </is>
      </c>
      <c r="C431" s="2">
        <v>46031</v>
      </c>
      <c r="D431" s="2">
        <v>46031</v>
      </c>
      <c r="E431" t="inlineStr">
        <is>
          <t>ปกติ</t>
        </is>
      </c>
      <c r="F431" s="3"/>
      <c r="G431"/>
      <c r="H431" t="inlineStr">
        <is>
          <t>Shorts</t>
        </is>
      </c>
      <c r="I431" t="inlineStr">
        <is>
          <t>งานประจำวัน</t>
        </is>
      </c>
      <c r="J431" t="inlineStr">
        <is>
          <t>Done</t>
        </is>
      </c>
      <c r="K431"/>
      <c r="L431" s="3"/>
      <c r="M431" t="inlineStr">
        <is>
          <t>1</t>
        </is>
      </c>
      <c r="N431" t="inlineStr">
        <is>
          <t>Apple</t>
        </is>
      </c>
      <c r="O431"/>
    </row>
    <row r="432" ht="12.75" customHeight="1">
      <c r="A432" t="inlineStr">
        <is>
          <t>เปิดตัว 8BitDo FlipPad คอนโทรลเลอร์บางพิเศษสำหรับสมาร์ทโฟน</t>
        </is>
      </c>
      <c r="B432" t="inlineStr">
        <is>
          <t>Sasithakan Sritonthip</t>
        </is>
      </c>
      <c r="C432" s="2">
        <v>46031</v>
      </c>
      <c r="D432" s="2">
        <v>46031</v>
      </c>
      <c r="E432" t="inlineStr">
        <is>
          <t>ปกติ</t>
        </is>
      </c>
      <c r="F432" s="3" t="str">
        <f>=HYPERLINK("https://9to5google.com/2026/01/08/8bitdo-flip-pad-android-emulator-controller/", "https://9to5google.com/2026/01/08/8bitdo-flip-pad-android-emulator-controller/")</f>
        <v>https://9to5google.com/2026/01/08/8bitdo-flip-pad-android-emulator-controller/</v>
      </c>
      <c r="G432"/>
      <c r="H432" t="inlineStr">
        <is>
          <t>Website</t>
        </is>
      </c>
      <c r="I432" t="inlineStr">
        <is>
          <t>งานประจำวัน</t>
        </is>
      </c>
      <c r="J432" t="inlineStr">
        <is>
          <t>Done</t>
        </is>
      </c>
      <c r="K432"/>
      <c r="L432" s="3" t="str">
        <f>=HYPERLINK("https://www.iphonemod.net/8bitdo-flip-pad-looks-like-the-perfect-portable-controller-for-android-emulators.html", "https://www.iphonemod.net/8bitdo-flip-pad-looks-like-the-perfect-portable-controller-for-android-emulators.html")</f>
        <v>https://www.iphonemod.net/8bitdo-flip-pad-looks-like-the-perfect-portable-controller-for-android-emulators.html</v>
      </c>
      <c r="M432" t="inlineStr">
        <is>
          <t>1</t>
        </is>
      </c>
      <c r="N432" t="inlineStr">
        <is>
          <t>Tech</t>
        </is>
      </c>
      <c r="O432"/>
    </row>
    <row r="433" ht="12.75" customHeight="1">
      <c r="A433" t="inlineStr">
        <is>
          <t xml:space="preserve">แจก Prompt ทำรูปวันเด็ก </t>
        </is>
      </c>
      <c r="B433" t="inlineStr">
        <is>
          <t>Nattida Suriyodara</t>
        </is>
      </c>
      <c r="C433" s="2">
        <v>46031</v>
      </c>
      <c r="D433" s="2">
        <v>46031</v>
      </c>
      <c r="E433"/>
      <c r="F433" s="3"/>
      <c r="G433"/>
      <c r="H433" t="inlineStr">
        <is>
          <t>Pic Posts / Album, Website</t>
        </is>
      </c>
      <c r="I433" t="inlineStr">
        <is>
          <t>งานประจำวัน</t>
        </is>
      </c>
      <c r="J433" t="inlineStr">
        <is>
          <t>Done</t>
        </is>
      </c>
      <c r="K433"/>
      <c r="L433" s="3"/>
      <c r="M433" t="inlineStr">
        <is>
          <t>1</t>
        </is>
      </c>
      <c r="N433" t="inlineStr">
        <is>
          <t>AI</t>
        </is>
      </c>
      <c r="O433"/>
    </row>
    <row r="434" ht="12.75" customHeight="1">
      <c r="A434" t="inlineStr">
        <is>
          <t>หัวหน้าฝ่ายออกแบบ Safari ของ Apple ลาออก ย้ายไปร่วมงานกับ The Browser Company</t>
        </is>
      </c>
      <c r="B434" t="inlineStr">
        <is>
          <t>Sasithakan Sritonthip</t>
        </is>
      </c>
      <c r="C434" s="2">
        <v>46031</v>
      </c>
      <c r="D434" s="2">
        <v>46031</v>
      </c>
      <c r="E434" t="inlineStr">
        <is>
          <t>ปกติ</t>
        </is>
      </c>
      <c r="F434" s="3" t="str">
        <f>=HYPERLINK("https://www.macrumors.com/2026/01/08/apple-loses-safari-designer-to-the-browser-company/", "https://www.macrumors.com/2026/01/08/apple-loses-safari-designer-to-the-browser-company/")</f>
        <v>https://www.macrumors.com/2026/01/08/apple-loses-safari-designer-to-the-browser-company/</v>
      </c>
      <c r="G434"/>
      <c r="H434" t="inlineStr">
        <is>
          <t>Website</t>
        </is>
      </c>
      <c r="I434" t="inlineStr">
        <is>
          <t>งานประจำวัน</t>
        </is>
      </c>
      <c r="J434" t="inlineStr">
        <is>
          <t>Done</t>
        </is>
      </c>
      <c r="K434"/>
      <c r="L434" s="3" t="str">
        <f>=HYPERLINK("https://www.iphonemod.net/apple-loses-safari-lead-designer-to-the-browser-company.html", "https://www.iphonemod.net/apple-loses-safari-lead-designer-to-the-browser-company.html")</f>
        <v>https://www.iphonemod.net/apple-loses-safari-lead-designer-to-the-browser-company.html</v>
      </c>
      <c r="M434" t="inlineStr">
        <is>
          <t>1</t>
        </is>
      </c>
      <c r="N434" t="inlineStr">
        <is>
          <t>Apple</t>
        </is>
      </c>
      <c r="O434"/>
    </row>
    <row r="435" ht="12.75" customHeight="1">
      <c r="A435" t="inlineStr">
        <is>
          <t>Gmail เปิดให้ผู้ใช้ในสหรัฐฯ ใช้งาน 3 ฟีเจอร์ AI ได้ฟรีแล้ว</t>
        </is>
      </c>
      <c r="B435" t="inlineStr">
        <is>
          <t>Sasithakan Sritonthip</t>
        </is>
      </c>
      <c r="C435" s="2">
        <v>46031</v>
      </c>
      <c r="D435" s="2">
        <v>46031</v>
      </c>
      <c r="E435" t="inlineStr">
        <is>
          <t>ปกติ</t>
        </is>
      </c>
      <c r="F435" s="3" t="str">
        <f>=HYPERLINK("https://www.macrumors.com/2026/01/08/gmail-ai-features-now-free-to-use/", "https://www.macrumors.com/2026/01/08/gmail-ai-features-now-free-to-use/")</f>
        <v>https://www.macrumors.com/2026/01/08/gmail-ai-features-now-free-to-use/</v>
      </c>
      <c r="G435"/>
      <c r="H435" t="inlineStr">
        <is>
          <t>Website</t>
        </is>
      </c>
      <c r="I435" t="inlineStr">
        <is>
          <t>งานประจำวัน</t>
        </is>
      </c>
      <c r="J435" t="inlineStr">
        <is>
          <t>Done</t>
        </is>
      </c>
      <c r="K435"/>
      <c r="L435" s="3" t="str">
        <f>=HYPERLINK("https://www.iphonemod.net/gmail-users-can-now-use-these-three-ai-features-without-paying.html", "https://www.iphonemod.net/gmail-users-can-now-use-these-three-ai-features-without-paying.html")</f>
        <v>https://www.iphonemod.net/gmail-users-can-now-use-these-three-ai-features-without-paying.html</v>
      </c>
      <c r="M435" t="inlineStr">
        <is>
          <t>1</t>
        </is>
      </c>
      <c r="N435" t="inlineStr">
        <is>
          <t>AI</t>
        </is>
      </c>
      <c r="O435"/>
    </row>
    <row r="436" ht="12.75" customHeight="1">
      <c r="A436" t="inlineStr">
        <is>
          <t>WhatsApp เพิ่ม 3 ฟีเจอร์ใหม่ให้แชทกลุ่ม ใช้งานทั่วโลกได้แล้ว!</t>
        </is>
      </c>
      <c r="B436" t="inlineStr">
        <is>
          <t>Sasithakan Sritonthip</t>
        </is>
      </c>
      <c r="C436" s="2">
        <v>46030</v>
      </c>
      <c r="D436" s="2">
        <v>46030</v>
      </c>
      <c r="E436" t="inlineStr">
        <is>
          <t>ปกติ</t>
        </is>
      </c>
      <c r="F436" s="3" t="str">
        <f>=HYPERLINK("https://www.macrumors.com/2026/01/07/whatsapp-group-chats-three-new-features/", "https://www.macrumors.com/2026/01/07/whatsapp-group-chats-three-new-features/")</f>
        <v>https://www.macrumors.com/2026/01/07/whatsapp-group-chats-three-new-features/</v>
      </c>
      <c r="G436"/>
      <c r="H436" t="inlineStr">
        <is>
          <t>Website</t>
        </is>
      </c>
      <c r="I436" t="inlineStr">
        <is>
          <t>งานประจำวัน</t>
        </is>
      </c>
      <c r="J436" t="inlineStr">
        <is>
          <t>Done</t>
        </is>
      </c>
      <c r="K436" t="inlineStr">
        <is>
          <t>https://blog.whatsapp.com</t>
        </is>
      </c>
      <c r="L436" s="3" t="str">
        <f>=HYPERLINK("https://www.iphonemod.net/whatsapp-enhances-group-chats-with-three-new-features.html", "https://www.iphonemod.net/whatsapp-enhances-group-chats-with-three-new-features.html")</f>
        <v>https://www.iphonemod.net/whatsapp-enhances-group-chats-with-three-new-features.html</v>
      </c>
      <c r="M436" t="inlineStr">
        <is>
          <t>1</t>
        </is>
      </c>
      <c r="N436" t="inlineStr">
        <is>
          <t>Apple, Android, Tech</t>
        </is>
      </c>
      <c r="O436"/>
    </row>
    <row r="437" ht="12.75" customHeight="1">
      <c r="A437" t="inlineStr">
        <is>
          <t>Gemini แก้ไขรูปเฉพาะจุด</t>
        </is>
      </c>
      <c r="B437" t="inlineStr">
        <is>
          <t>Nattida Suriyodara</t>
        </is>
      </c>
      <c r="C437" s="2">
        <v>46030</v>
      </c>
      <c r="D437" s="2">
        <v>46030</v>
      </c>
      <c r="E437"/>
      <c r="F437" s="3"/>
      <c r="G437"/>
      <c r="H437" t="inlineStr">
        <is>
          <t>Pic Posts / Album</t>
        </is>
      </c>
      <c r="I437" t="inlineStr">
        <is>
          <t>งานประจำวัน</t>
        </is>
      </c>
      <c r="J437" t="inlineStr">
        <is>
          <t>Done</t>
        </is>
      </c>
      <c r="K437"/>
      <c r="L437" s="3"/>
      <c r="M437" t="inlineStr">
        <is>
          <t>1</t>
        </is>
      </c>
      <c r="N437" t="inlineStr">
        <is>
          <t>AI</t>
        </is>
      </c>
      <c r="O437"/>
    </row>
    <row r="438" ht="12.75" customHeight="1">
      <c r="A438" t="inlineStr">
        <is>
          <t xml:space="preserve"> ChatGPT Health </t>
        </is>
      </c>
      <c r="B438" t="inlineStr">
        <is>
          <t>Nattida Suriyodara</t>
        </is>
      </c>
      <c r="C438" s="2">
        <v>46030</v>
      </c>
      <c r="D438" s="2">
        <v>46030</v>
      </c>
      <c r="E438"/>
      <c r="F438" s="3"/>
      <c r="G438"/>
      <c r="H438" t="inlineStr">
        <is>
          <t>Website, Pic Posts / Album</t>
        </is>
      </c>
      <c r="I438" t="inlineStr">
        <is>
          <t>งานประจำวัน</t>
        </is>
      </c>
      <c r="J438" t="inlineStr">
        <is>
          <t>Done</t>
        </is>
      </c>
      <c r="K438"/>
      <c r="L438" s="3"/>
      <c r="M438" t="inlineStr">
        <is>
          <t>1</t>
        </is>
      </c>
      <c r="N438" t="inlineStr">
        <is>
          <t>AI</t>
        </is>
      </c>
      <c r="O438"/>
    </row>
    <row r="439" ht="12.75" customHeight="1">
      <c r="A439" t="inlineStr">
        <is>
          <t>CES 2026 | Roborock Saros Rover หุ่นยนต์ดูดฝุ่นที่ปีนบันไดได้จริง</t>
        </is>
      </c>
      <c r="B439" t="inlineStr">
        <is>
          <t>Thitirath Kinaret,Sasithakan Sritonthip</t>
        </is>
      </c>
      <c r="C439" s="2">
        <v>46030</v>
      </c>
      <c r="D439" s="2">
        <v>46030</v>
      </c>
      <c r="E439" t="inlineStr">
        <is>
          <t>ปกติ</t>
        </is>
      </c>
      <c r="F439" s="3" t="str">
        <f>=HYPERLINK("https://www.iphonemod.net/roborock-announce-saros-rover.html", "https://www.iphonemod.net/roborock-announce-saros-rover.html")</f>
        <v>https://www.iphonemod.net/roborock-announce-saros-rover.html</v>
      </c>
      <c r="G439"/>
      <c r="H439" t="inlineStr">
        <is>
          <t>Shorts</t>
        </is>
      </c>
      <c r="I439" t="inlineStr">
        <is>
          <t>งานประจำวัน</t>
        </is>
      </c>
      <c r="J439" t="inlineStr">
        <is>
          <t>Done</t>
        </is>
      </c>
      <c r="K439" t="inlineStr">
        <is>
          <t>https://www.iphonemod.net/roborock-announce-saros-rover.html</t>
        </is>
      </c>
      <c r="L439" s="3"/>
      <c r="M439" t="inlineStr">
        <is>
          <t>1</t>
        </is>
      </c>
      <c r="N439" t="inlineStr">
        <is>
          <t>Tech, AI</t>
        </is>
      </c>
      <c r="O439"/>
    </row>
    <row r="440" ht="12.75" customHeight="1">
      <c r="A440" t="inlineStr">
        <is>
          <t>CES 2025 | Samsung โชว์จอ OLED พับได้ แบบไร้รอยพับเป็นครั้งแรก</t>
        </is>
      </c>
      <c r="B440" t="inlineStr">
        <is>
          <t>Thitirath Kinaret,Sasithakan Sritonthip</t>
        </is>
      </c>
      <c r="C440" s="2">
        <v>46030</v>
      </c>
      <c r="D440" s="2">
        <v>46030</v>
      </c>
      <c r="E440" t="inlineStr">
        <is>
          <t>ปกติ</t>
        </is>
      </c>
      <c r="F440" s="3" t="str">
        <f>=HYPERLINK("https://www.iphonemod.net/samsung-showcases-its-first-crease-less-foldable-oled-panel.html", "https://www.iphonemod.net/samsung-showcases-its-first-crease-less-foldable-oled-panel.html")</f>
        <v>https://www.iphonemod.net/samsung-showcases-its-first-crease-less-foldable-oled-panel.html</v>
      </c>
      <c r="G440"/>
      <c r="H440" t="inlineStr">
        <is>
          <t>Shorts</t>
        </is>
      </c>
      <c r="I440" t="inlineStr">
        <is>
          <t>งานประจำวัน</t>
        </is>
      </c>
      <c r="J440" t="inlineStr">
        <is>
          <t>Done</t>
        </is>
      </c>
      <c r="K440"/>
      <c r="L440" s="3"/>
      <c r="M440" t="inlineStr">
        <is>
          <t>1</t>
        </is>
      </c>
      <c r="N440" t="inlineStr">
        <is>
          <t>Android</t>
        </is>
      </c>
      <c r="O440"/>
    </row>
    <row r="441" ht="12.75" customHeight="1">
      <c r="A441" t="inlineStr">
        <is>
          <t>Mijia Smart Air Purifier Max</t>
        </is>
      </c>
      <c r="B441" t="inlineStr">
        <is>
          <t>Saktaphat Kordjan,Thitirath Kinaret</t>
        </is>
      </c>
      <c r="C441" s="2">
        <v>46030</v>
      </c>
      <c r="D441" s="2">
        <v>46030</v>
      </c>
      <c r="E441"/>
      <c r="F441" s="3"/>
      <c r="G441"/>
      <c r="H441" t="inlineStr">
        <is>
          <t>YouTube</t>
        </is>
      </c>
      <c r="I441" t="inlineStr">
        <is>
          <t>งานลูกค้า</t>
        </is>
      </c>
      <c r="J441" t="inlineStr">
        <is>
          <t>Done</t>
        </is>
      </c>
      <c r="K441"/>
      <c r="L441" s="3"/>
      <c r="M441" t="inlineStr">
        <is>
          <t>1</t>
        </is>
      </c>
      <c r="N441" t="inlineStr">
        <is>
          <t>ลูกค้า</t>
        </is>
      </c>
      <c r="O441" t="inlineStr">
        <is>
          <t>Xiaomi</t>
        </is>
      </c>
    </row>
    <row r="442" ht="12.75" customHeight="1">
      <c r="A442" t="inlineStr">
        <is>
          <t>เผยภาพเรนเดอร์ Redmi Turbo 5 Max ชุดใหม่</t>
        </is>
      </c>
      <c r="B442" t="inlineStr">
        <is>
          <t>Saktaphat Kordjan</t>
        </is>
      </c>
      <c r="C442" s="2">
        <v>46030</v>
      </c>
      <c r="D442" s="2">
        <v>46030</v>
      </c>
      <c r="E442"/>
      <c r="F442" s="3"/>
      <c r="G442"/>
      <c r="H442" t="inlineStr">
        <is>
          <t>Website</t>
        </is>
      </c>
      <c r="I442" t="inlineStr">
        <is>
          <t>งานประจำวัน</t>
        </is>
      </c>
      <c r="J442" t="inlineStr">
        <is>
          <t>Done</t>
        </is>
      </c>
      <c r="K442"/>
      <c r="L442" s="3"/>
      <c r="M442" t="inlineStr">
        <is>
          <t>1</t>
        </is>
      </c>
      <c r="N442" t="inlineStr">
        <is>
          <t>Android</t>
        </is>
      </c>
      <c r="O442"/>
    </row>
    <row r="443" ht="12.75" customHeight="1">
      <c r="A443" t="inlineStr">
        <is>
          <t xml:space="preserve">vivo X300 Pro ลำโพงเป็นไง </t>
        </is>
      </c>
      <c r="B443" t="inlineStr">
        <is>
          <t>Saktaphat Kordjan</t>
        </is>
      </c>
      <c r="C443" s="2">
        <v>46030</v>
      </c>
      <c r="D443" s="2">
        <v>46030</v>
      </c>
      <c r="E443"/>
      <c r="F443" s="3"/>
      <c r="G443"/>
      <c r="H443" t="inlineStr">
        <is>
          <t>YouTube</t>
        </is>
      </c>
      <c r="I443" t="inlineStr">
        <is>
          <t>เสนอไอเดีย</t>
        </is>
      </c>
      <c r="J443" t="inlineStr">
        <is>
          <t>Done</t>
        </is>
      </c>
      <c r="K443"/>
      <c r="L443" s="3"/>
      <c r="M443" t="inlineStr">
        <is>
          <t>1</t>
        </is>
      </c>
      <c r="N443" t="inlineStr">
        <is>
          <t>Android</t>
        </is>
      </c>
      <c r="O443"/>
    </row>
    <row r="444" ht="12.75" customHeight="1">
      <c r="A444" t="inlineStr">
        <is>
          <t>Red Note 15 Pro+ (Support)</t>
        </is>
      </c>
      <c r="B444" t="inlineStr">
        <is>
          <t>Saktaphat Kordjan</t>
        </is>
      </c>
      <c r="C444" s="2">
        <v>46029</v>
      </c>
      <c r="D444" s="2">
        <v>46029</v>
      </c>
      <c r="E444"/>
      <c r="F444" s="3"/>
      <c r="G444"/>
      <c r="H444" t="inlineStr">
        <is>
          <t>YouTube, Pic Posts / Album</t>
        </is>
      </c>
      <c r="I444" t="inlineStr">
        <is>
          <t>งานลูกค้า</t>
        </is>
      </c>
      <c r="J444" t="inlineStr">
        <is>
          <t>Done</t>
        </is>
      </c>
      <c r="K444"/>
      <c r="L444" s="3"/>
      <c r="M444" t="inlineStr">
        <is>
          <t>1</t>
        </is>
      </c>
      <c r="N444" t="inlineStr">
        <is>
          <t>Android</t>
        </is>
      </c>
      <c r="O444" t="inlineStr">
        <is>
          <t>Xiaomi</t>
        </is>
      </c>
    </row>
    <row r="445" ht="12.75" customHeight="1">
      <c r="A445" t="inlineStr">
        <is>
          <t>CES 2026 | SwitchBot เปิดตัวหุ่นยนต์ช่วยงานบ้าน สมาร์ทล็อกรองรับ Matter และอื่น ๆ</t>
        </is>
      </c>
      <c r="B445" t="inlineStr">
        <is>
          <t>Sasithakan Sritonthip</t>
        </is>
      </c>
      <c r="C445" s="2">
        <v>46029</v>
      </c>
      <c r="D445" s="2">
        <v>46029</v>
      </c>
      <c r="E445" t="inlineStr">
        <is>
          <t>ปกติ</t>
        </is>
      </c>
      <c r="F445" s="3" t="str">
        <f>=HYPERLINK("https://www.macrumors.com/2026/01/06/switchbot-robot-smart-lock/", "https://www.macrumors.com/2026/01/06/switchbot-robot-smart-lock/")</f>
        <v>https://www.macrumors.com/2026/01/06/switchbot-robot-smart-lock/</v>
      </c>
      <c r="G445"/>
      <c r="H445" t="inlineStr">
        <is>
          <t>Website</t>
        </is>
      </c>
      <c r="I445" t="inlineStr">
        <is>
          <t>งานประจำวัน</t>
        </is>
      </c>
      <c r="J445" t="inlineStr">
        <is>
          <t>Done</t>
        </is>
      </c>
      <c r="K445"/>
      <c r="L445" s="3" t="str">
        <f>=HYPERLINK("https://www.iphonemod.net/ces-2026-switchbot-announces-household-robot-matter-smart-lock-and-more.html", "https://www.iphonemod.net/ces-2026-switchbot-announces-household-robot-matter-smart-lock-and-more.html")</f>
        <v>https://www.iphonemod.net/ces-2026-switchbot-announces-household-robot-matter-smart-lock-and-more.html</v>
      </c>
      <c r="M445" t="inlineStr">
        <is>
          <t>1</t>
        </is>
      </c>
      <c r="N445" t="inlineStr">
        <is>
          <t>Tech</t>
        </is>
      </c>
      <c r="O445"/>
    </row>
    <row r="446" ht="12.75" customHeight="1">
      <c r="A446" t="inlineStr">
        <is>
          <t>CES 2026 | Aukey เปิดตัว MagFusion DeskHive 5X Pro</t>
        </is>
      </c>
      <c r="B446" t="inlineStr">
        <is>
          <t>Sasithakan Sritonthip</t>
        </is>
      </c>
      <c r="C446" s="2">
        <v>46029</v>
      </c>
      <c r="D446" s="2">
        <v>46029</v>
      </c>
      <c r="E446" t="inlineStr">
        <is>
          <t>ปกติ</t>
        </is>
      </c>
      <c r="F446" s="3" t="str">
        <f>=HYPERLINK("https://www.macrumors.com/2026/01/06/aukey-magfusion-deskhive/", "https://www.macrumors.com/2026/01/06/aukey-magfusion-deskhive/")</f>
        <v>https://www.macrumors.com/2026/01/06/aukey-magfusion-deskhive/</v>
      </c>
      <c r="G446"/>
      <c r="H446" t="inlineStr">
        <is>
          <t>Website</t>
        </is>
      </c>
      <c r="I446" t="inlineStr">
        <is>
          <t>งานประจำวัน</t>
        </is>
      </c>
      <c r="J446" t="inlineStr">
        <is>
          <t>Done</t>
        </is>
      </c>
      <c r="K446"/>
      <c r="L446" s="3" t="str">
        <f>=HYPERLINK("https://www.iphonemod.net/aukey-launches-magfusion-deskhive-5x-pro.html", "https://www.iphonemod.net/aukey-launches-magfusion-deskhive-5x-pro.html")</f>
        <v>https://www.iphonemod.net/aukey-launches-magfusion-deskhive-5x-pro.html</v>
      </c>
      <c r="M446" t="inlineStr">
        <is>
          <t>1</t>
        </is>
      </c>
      <c r="N446" t="inlineStr">
        <is>
          <t>Tech</t>
        </is>
      </c>
      <c r="O446"/>
    </row>
    <row r="447" ht="12.75" customHeight="1">
      <c r="A447" t="inlineStr">
        <is>
          <t>CES 2026 | Senso เซนเซอร์ AI ดูแลต้นไม้อัจฉริยะ คล้ายทามาก็อตจิ</t>
        </is>
      </c>
      <c r="B447" t="inlineStr">
        <is>
          <t>Sasithakan Sritonthip</t>
        </is>
      </c>
      <c r="C447" s="2">
        <v>46029</v>
      </c>
      <c r="D447" s="2">
        <v>46029</v>
      </c>
      <c r="E447" t="inlineStr">
        <is>
          <t>ปกติ</t>
        </is>
      </c>
      <c r="F447" s="3" t="str">
        <f>=HYPERLINK("https://www.macrumors.com/2026/01/06/senso-plant-sensor-ces-2026/", "https://www.macrumors.com/2026/01/06/senso-plant-sensor-ces-2026/")</f>
        <v>https://www.macrumors.com/2026/01/06/senso-plant-sensor-ces-2026/</v>
      </c>
      <c r="G447"/>
      <c r="H447" t="inlineStr">
        <is>
          <t>Website</t>
        </is>
      </c>
      <c r="I447" t="inlineStr">
        <is>
          <t>งานประจำวัน</t>
        </is>
      </c>
      <c r="J447" t="inlineStr">
        <is>
          <t>Done</t>
        </is>
      </c>
      <c r="K447"/>
      <c r="L447" s="3"/>
      <c r="M447" t="inlineStr">
        <is>
          <t>1</t>
        </is>
      </c>
      <c r="N447" t="inlineStr">
        <is>
          <t>Tech, AI</t>
        </is>
      </c>
      <c r="O447"/>
    </row>
    <row r="448" ht="12.75" customHeight="1">
      <c r="A448" t="inlineStr">
        <is>
          <t>Shopping research-ChatGPT</t>
        </is>
      </c>
      <c r="B448" t="inlineStr">
        <is>
          <t>Nattida Suriyodara</t>
        </is>
      </c>
      <c r="C448" s="2">
        <v>46029</v>
      </c>
      <c r="D448" s="2">
        <v>46029</v>
      </c>
      <c r="E448"/>
      <c r="F448" s="3"/>
      <c r="G448"/>
      <c r="H448" t="inlineStr">
        <is>
          <t>Shorts</t>
        </is>
      </c>
      <c r="I448" t="inlineStr">
        <is>
          <t>งานประจำวัน</t>
        </is>
      </c>
      <c r="J448" t="inlineStr">
        <is>
          <t>Done</t>
        </is>
      </c>
      <c r="K448"/>
      <c r="L448" s="3"/>
      <c r="M448" t="inlineStr">
        <is>
          <t>1</t>
        </is>
      </c>
      <c r="N448" t="inlineStr">
        <is>
          <t>AI</t>
        </is>
      </c>
      <c r="O448"/>
    </row>
    <row r="449" ht="12.75" customHeight="1">
      <c r="A449" t="inlineStr">
        <is>
          <t>CES 2026 | INTRICUIT MAGIC SCREEN</t>
        </is>
      </c>
      <c r="B449" t="inlineStr">
        <is>
          <t>Thitirath Kinaret,Sasithakan Sritonthip</t>
        </is>
      </c>
      <c r="C449" s="2">
        <v>46029</v>
      </c>
      <c r="D449" s="2">
        <v>46029</v>
      </c>
      <c r="E449" t="inlineStr">
        <is>
          <t>ปกติ</t>
        </is>
      </c>
      <c r="F449" s="3" t="str">
        <f>=HYPERLINK("https://www.iphonemod.net/magic-screen-accessory-adds-touch-display-to-macbook.html", "https://www.iphonemod.net/magic-screen-accessory-adds-touch-display-to-macbook.html")</f>
        <v>https://www.iphonemod.net/magic-screen-accessory-adds-touch-display-to-macbook.html</v>
      </c>
      <c r="G449"/>
      <c r="H449" t="inlineStr">
        <is>
          <t>Shorts</t>
        </is>
      </c>
      <c r="I449" t="inlineStr">
        <is>
          <t>งานประจำวัน</t>
        </is>
      </c>
      <c r="J449" t="inlineStr">
        <is>
          <t>Done</t>
        </is>
      </c>
      <c r="K449"/>
      <c r="L449" s="3"/>
      <c r="M449" t="inlineStr">
        <is>
          <t>1</t>
        </is>
      </c>
      <c r="N449" t="inlineStr">
        <is>
          <t>Tech</t>
        </is>
      </c>
      <c r="O449"/>
    </row>
    <row r="450" ht="12.75" customHeight="1">
      <c r="A450" t="inlineStr">
        <is>
          <t>iPhone Air ลดราคา Tread in 28,900</t>
        </is>
      </c>
      <c r="B450" t="inlineStr">
        <is>
          <t>Thitirath Kinaret,Sasithakan Sritonthip</t>
        </is>
      </c>
      <c r="C450" s="2">
        <v>46029</v>
      </c>
      <c r="D450" s="2">
        <v>46029</v>
      </c>
      <c r="E450" t="inlineStr">
        <is>
          <t>ปกติ</t>
        </is>
      </c>
      <c r="F450" s="3"/>
      <c r="G450"/>
      <c r="H450" t="inlineStr">
        <is>
          <t>Shorts</t>
        </is>
      </c>
      <c r="I450" t="inlineStr">
        <is>
          <t>งานประจำวัน</t>
        </is>
      </c>
      <c r="J450" t="inlineStr">
        <is>
          <t>Done</t>
        </is>
      </c>
      <c r="K450"/>
      <c r="L450" s="3"/>
      <c r="M450" t="inlineStr">
        <is>
          <t>1</t>
        </is>
      </c>
      <c r="N450" t="inlineStr">
        <is>
          <t>Apple</t>
        </is>
      </c>
      <c r="O450"/>
    </row>
    <row r="451" ht="12.75" customHeight="1">
      <c r="A451" t="inlineStr">
        <is>
          <t>CES 2026 | Razor "Project MADISON"</t>
        </is>
      </c>
      <c r="B451" t="inlineStr">
        <is>
          <t>Krongkwun  Rithiwong</t>
        </is>
      </c>
      <c r="C451" s="2">
        <v>46029</v>
      </c>
      <c r="D451" s="2">
        <v>46029</v>
      </c>
      <c r="E451" t="inlineStr">
        <is>
          <t>ปกติ</t>
        </is>
      </c>
      <c r="F451" s="3"/>
      <c r="G451"/>
      <c r="H451" t="inlineStr">
        <is>
          <t>Shorts</t>
        </is>
      </c>
      <c r="I451" t="inlineStr">
        <is>
          <t>งานประจำวัน</t>
        </is>
      </c>
      <c r="J451" t="inlineStr">
        <is>
          <t>Done</t>
        </is>
      </c>
      <c r="K451" t="inlineStr">
        <is>
          <t>ลง 7/1/69 19.00 น.</t>
        </is>
      </c>
      <c r="L451" s="3"/>
      <c r="M451" t="inlineStr">
        <is>
          <t>1</t>
        </is>
      </c>
      <c r="N451" t="inlineStr">
        <is>
          <t>Tech</t>
        </is>
      </c>
      <c r="O451"/>
    </row>
    <row r="452" ht="12.75" customHeight="1">
      <c r="A452" t="inlineStr">
        <is>
          <t>CES 2026 | Solar Mars bot</t>
        </is>
      </c>
      <c r="B452" t="inlineStr">
        <is>
          <t>Krongkwun  Rithiwong</t>
        </is>
      </c>
      <c r="C452" s="2">
        <v>46029</v>
      </c>
      <c r="D452" s="2">
        <v>46029</v>
      </c>
      <c r="E452" t="inlineStr">
        <is>
          <t>ปกติ</t>
        </is>
      </c>
      <c r="F452" s="3"/>
      <c r="G452"/>
      <c r="H452" t="inlineStr">
        <is>
          <t>Shorts</t>
        </is>
      </c>
      <c r="I452" t="inlineStr">
        <is>
          <t>งานประจำวัน</t>
        </is>
      </c>
      <c r="J452" t="inlineStr">
        <is>
          <t>Done</t>
        </is>
      </c>
      <c r="K452"/>
      <c r="L452" s="3"/>
      <c r="M452" t="inlineStr">
        <is>
          <t>1</t>
        </is>
      </c>
      <c r="N452" t="inlineStr">
        <is>
          <t>Tech</t>
        </is>
      </c>
      <c r="O452"/>
    </row>
    <row r="453" ht="12.75" customHeight="1">
      <c r="A453" t="inlineStr">
        <is>
          <t>Infinix เปิดตัวระบบระบายความร้อนแบบไร้ใบพัด, คอนโทรลเลอร์เกม</t>
        </is>
      </c>
      <c r="B453" t="inlineStr">
        <is>
          <t>Saktaphat Kordjan</t>
        </is>
      </c>
      <c r="C453" s="2">
        <v>46029</v>
      </c>
      <c r="D453" s="2">
        <v>46029</v>
      </c>
      <c r="E453"/>
      <c r="F453" s="3"/>
      <c r="G453"/>
      <c r="H453" t="inlineStr">
        <is>
          <t>Website</t>
        </is>
      </c>
      <c r="I453" t="inlineStr">
        <is>
          <t>งานประจำวัน</t>
        </is>
      </c>
      <c r="J453" t="inlineStr">
        <is>
          <t>Done</t>
        </is>
      </c>
      <c r="K453"/>
      <c r="L453" s="3"/>
      <c r="M453" t="inlineStr">
        <is>
          <t>1</t>
        </is>
      </c>
      <c r="N453" t="inlineStr">
        <is>
          <t>Tech</t>
        </is>
      </c>
      <c r="O453"/>
    </row>
    <row r="454" ht="12.75" customHeight="1">
      <c r="A454" t="inlineStr">
        <is>
          <t>vivo Office Kit ส่งไฟล์ไป Mac ภาพไม่แตก</t>
        </is>
      </c>
      <c r="B454" t="inlineStr">
        <is>
          <t>Saktaphat Kordjan</t>
        </is>
      </c>
      <c r="C454" s="2">
        <v>46029</v>
      </c>
      <c r="D454" s="2">
        <v>46029</v>
      </c>
      <c r="E454"/>
      <c r="F454" s="3"/>
      <c r="G454"/>
      <c r="H454" t="inlineStr">
        <is>
          <t>Shorts</t>
        </is>
      </c>
      <c r="I454" t="inlineStr">
        <is>
          <t>เสนอไอเดีย</t>
        </is>
      </c>
      <c r="J454" t="inlineStr">
        <is>
          <t>Done</t>
        </is>
      </c>
      <c r="K454"/>
      <c r="L454" s="3"/>
      <c r="M454" t="inlineStr">
        <is>
          <t>1</t>
        </is>
      </c>
      <c r="N454" t="inlineStr">
        <is>
          <t>Android, Apple</t>
        </is>
      </c>
      <c r="O454"/>
    </row>
    <row r="455" ht="12.75" customHeight="1">
      <c r="A455" t="inlineStr">
        <is>
          <t xml:space="preserve">ย้อนวันวาน มือถือน่าคิดถึง </t>
        </is>
      </c>
      <c r="B455" t="inlineStr">
        <is>
          <t>Saktaphat Kordjan</t>
        </is>
      </c>
      <c r="C455" s="2">
        <v>46029</v>
      </c>
      <c r="D455" s="2">
        <v>46029</v>
      </c>
      <c r="E455"/>
      <c r="F455" s="3"/>
      <c r="G455"/>
      <c r="H455" t="inlineStr">
        <is>
          <t>Pic Posts / Album</t>
        </is>
      </c>
      <c r="I455" t="inlineStr">
        <is>
          <t>เสนอไอเดีย</t>
        </is>
      </c>
      <c r="J455" t="inlineStr">
        <is>
          <t>Done</t>
        </is>
      </c>
      <c r="K455"/>
      <c r="L455" s="3"/>
      <c r="M455" t="inlineStr">
        <is>
          <t>1</t>
        </is>
      </c>
      <c r="N455" t="inlineStr">
        <is>
          <t>Android, Apple</t>
        </is>
      </c>
      <c r="O455"/>
    </row>
    <row r="456" ht="12.75" customHeight="1">
      <c r="A456" t="inlineStr">
        <is>
          <t>CES 2026 | Lego Smart Play System</t>
        </is>
      </c>
      <c r="B456" t="inlineStr">
        <is>
          <t>Krongkwun  Rithiwong</t>
        </is>
      </c>
      <c r="C456" s="2">
        <v>46029</v>
      </c>
      <c r="D456" s="2">
        <v>46029</v>
      </c>
      <c r="E456" t="inlineStr">
        <is>
          <t>ปกติ</t>
        </is>
      </c>
      <c r="F456" s="3"/>
      <c r="G456"/>
      <c r="H456" t="inlineStr">
        <is>
          <t>Shorts</t>
        </is>
      </c>
      <c r="I456" t="inlineStr">
        <is>
          <t>งานประจำวัน</t>
        </is>
      </c>
      <c r="J456" t="inlineStr">
        <is>
          <t>Done</t>
        </is>
      </c>
      <c r="K456"/>
      <c r="L456" s="3"/>
      <c r="M456" t="inlineStr">
        <is>
          <t>1</t>
        </is>
      </c>
      <c r="N456" t="inlineStr">
        <is>
          <t>Tech</t>
        </is>
      </c>
      <c r="O456"/>
    </row>
    <row r="457" ht="12.75" customHeight="1">
      <c r="A457" t="inlineStr">
        <is>
          <t>App สำหรับเด็ก Children Day</t>
        </is>
      </c>
      <c r="B457" t="inlineStr">
        <is>
          <t>Krongkwun  Rithiwong</t>
        </is>
      </c>
      <c r="C457" s="2">
        <v>46029</v>
      </c>
      <c r="D457" s="2">
        <v>46029</v>
      </c>
      <c r="E457" t="inlineStr">
        <is>
          <t>ปกติ</t>
        </is>
      </c>
      <c r="F457" s="3"/>
      <c r="G457"/>
      <c r="H457" t="inlineStr">
        <is>
          <t>Shorts</t>
        </is>
      </c>
      <c r="I457" t="inlineStr">
        <is>
          <t>งานประจำวัน</t>
        </is>
      </c>
      <c r="J457" t="inlineStr">
        <is>
          <t>Done</t>
        </is>
      </c>
      <c r="K457"/>
      <c r="L457" s="3"/>
      <c r="M457" t="inlineStr">
        <is>
          <t>1</t>
        </is>
      </c>
      <c r="N457" t="inlineStr">
        <is>
          <t>Tech</t>
        </is>
      </c>
      <c r="O457"/>
    </row>
    <row r="458" ht="12.75" customHeight="1">
      <c r="A458" t="inlineStr">
        <is>
          <t>ข่าวลือ iPhone 17e มี Dynamic Island และใช้ชิป A19</t>
        </is>
      </c>
      <c r="B458" t="inlineStr">
        <is>
          <t>Thitirath Kinaret,Sasithakan Sritonthip</t>
        </is>
      </c>
      <c r="C458" s="2">
        <v>46029</v>
      </c>
      <c r="D458" s="2">
        <v>46029</v>
      </c>
      <c r="E458" t="inlineStr">
        <is>
          <t>ปกติ</t>
        </is>
      </c>
      <c r="F458" s="3" t="str">
        <f>=HYPERLINK("https://www.iphonemod.net/iphone-17e-again-rumored-to-feature-dynamic-island-a19-chip.html", "https://www.iphonemod.net/iphone-17e-again-rumored-to-feature-dynamic-island-a19-chip.html")</f>
        <v>https://www.iphonemod.net/iphone-17e-again-rumored-to-feature-dynamic-island-a19-chip.html</v>
      </c>
      <c r="G458"/>
      <c r="H458" t="inlineStr">
        <is>
          <t>Shorts</t>
        </is>
      </c>
      <c r="I458" t="inlineStr">
        <is>
          <t>งานประจำวัน</t>
        </is>
      </c>
      <c r="J458" t="inlineStr">
        <is>
          <t>Done</t>
        </is>
      </c>
      <c r="K458"/>
      <c r="L458" s="3"/>
      <c r="M458" t="inlineStr">
        <is>
          <t>1</t>
        </is>
      </c>
      <c r="N458" t="inlineStr">
        <is>
          <t>Apple</t>
        </is>
      </c>
      <c r="O458"/>
    </row>
    <row r="459" ht="12.75" customHeight="1">
      <c r="A459" t="inlineStr">
        <is>
          <t>ถ่ายวิดีโอ HDR</t>
        </is>
      </c>
      <c r="B459" t="inlineStr">
        <is>
          <t>Nattida Suriyodara</t>
        </is>
      </c>
      <c r="C459" s="2">
        <v>46029</v>
      </c>
      <c r="D459" s="2">
        <v>46029</v>
      </c>
      <c r="E459"/>
      <c r="F459" s="3"/>
      <c r="G459"/>
      <c r="H459" t="inlineStr">
        <is>
          <t>Shorts</t>
        </is>
      </c>
      <c r="I459" t="inlineStr">
        <is>
          <t>งานประจำวัน</t>
        </is>
      </c>
      <c r="J459" t="inlineStr">
        <is>
          <t>Done</t>
        </is>
      </c>
      <c r="K459"/>
      <c r="L459" s="3"/>
      <c r="M459" t="inlineStr">
        <is>
          <t>1</t>
        </is>
      </c>
      <c r="N459" t="inlineStr">
        <is>
          <t>Apple</t>
        </is>
      </c>
      <c r="O459"/>
    </row>
    <row r="460" ht="12.75" customHeight="1">
      <c r="A460" t="inlineStr">
        <is>
          <t>(ตัดจากคลิปใหญ่) iPhone Air / 15 ร้านตัวแทน ปรับลดราคา!</t>
        </is>
      </c>
      <c r="B460" t="inlineStr">
        <is>
          <t>Sasithakan Sritonthip</t>
        </is>
      </c>
      <c r="C460" s="2">
        <v>46028</v>
      </c>
      <c r="D460" s="2">
        <v>46028</v>
      </c>
      <c r="E460" t="inlineStr">
        <is>
          <t>ปกติ</t>
        </is>
      </c>
      <c r="F460" s="3" t="str">
        <f>=HYPERLINK("https://www.youtube.com/watch?v=v-HPBxmwy4s&amp;t=10s", "https://www.youtube.com/watch?v=v-HPBxmwy4s&amp;t=10s")</f>
        <v>https://www.youtube.com/watch?v=v-HPBxmwy4s&amp;t=10s</v>
      </c>
      <c r="G460"/>
      <c r="H460" t="inlineStr">
        <is>
          <t>Shorts</t>
        </is>
      </c>
      <c r="I460" t="inlineStr">
        <is>
          <t>งานประจำวัน</t>
        </is>
      </c>
      <c r="J460" t="inlineStr">
        <is>
          <t>Done</t>
        </is>
      </c>
      <c r="K460"/>
      <c r="L460" s="3"/>
      <c r="M460" t="inlineStr">
        <is>
          <t>1</t>
        </is>
      </c>
      <c r="N460" t="inlineStr">
        <is>
          <t>Apple</t>
        </is>
      </c>
      <c r="O460"/>
    </row>
    <row r="461" ht="12.75" customHeight="1">
      <c r="A461" t="inlineStr">
        <is>
          <t>CES 2026 | Click Communicator</t>
        </is>
      </c>
      <c r="B461" t="inlineStr">
        <is>
          <t>Krongkwun  Rithiwong</t>
        </is>
      </c>
      <c r="C461" s="2">
        <v>46028</v>
      </c>
      <c r="D461" s="2">
        <v>46028</v>
      </c>
      <c r="E461" t="inlineStr">
        <is>
          <t>ปกติ</t>
        </is>
      </c>
      <c r="F461" s="3"/>
      <c r="G461"/>
      <c r="H461" t="inlineStr">
        <is>
          <t>Shorts</t>
        </is>
      </c>
      <c r="I461" t="inlineStr">
        <is>
          <t>งานประจำวัน</t>
        </is>
      </c>
      <c r="J461" t="inlineStr">
        <is>
          <t>Done</t>
        </is>
      </c>
      <c r="K461"/>
      <c r="L461" s="3"/>
      <c r="M461" t="inlineStr">
        <is>
          <t>1</t>
        </is>
      </c>
      <c r="N461" t="inlineStr">
        <is>
          <t>Tech, Android</t>
        </is>
      </c>
      <c r="O461"/>
    </row>
    <row r="462" ht="12.75" customHeight="1">
      <c r="A462" t="inlineStr">
        <is>
          <t>Macbook Air ชิป M1 ทหารยูเครน</t>
        </is>
      </c>
      <c r="B462" t="inlineStr">
        <is>
          <t>Krongkwun  Rithiwong,Sasithakan Sritonthip</t>
        </is>
      </c>
      <c r="C462" s="2">
        <v>46028</v>
      </c>
      <c r="D462" s="2">
        <v>46028</v>
      </c>
      <c r="E462" t="inlineStr">
        <is>
          <t>ปกติ</t>
        </is>
      </c>
      <c r="F462" s="3"/>
      <c r="G462"/>
      <c r="H462" t="inlineStr">
        <is>
          <t>Shorts</t>
        </is>
      </c>
      <c r="I462" t="inlineStr">
        <is>
          <t>งานประจำวัน</t>
        </is>
      </c>
      <c r="J462" t="inlineStr">
        <is>
          <t>Done</t>
        </is>
      </c>
      <c r="K462"/>
      <c r="L462" s="3"/>
      <c r="M462" t="inlineStr">
        <is>
          <t>1</t>
        </is>
      </c>
      <c r="N462" t="inlineStr">
        <is>
          <t>Apple</t>
        </is>
      </c>
      <c r="O462"/>
    </row>
    <row r="463" ht="12.75" customHeight="1">
      <c r="A463" t="inlineStr">
        <is>
          <t>CES2026 | Samsung upgrade Family Hub</t>
        </is>
      </c>
      <c r="B463" t="inlineStr">
        <is>
          <t>Krongkwun  Rithiwong</t>
        </is>
      </c>
      <c r="C463" s="2">
        <v>46028</v>
      </c>
      <c r="D463" s="2">
        <v>46028</v>
      </c>
      <c r="E463" t="inlineStr">
        <is>
          <t>ปกติ</t>
        </is>
      </c>
      <c r="F463" s="3"/>
      <c r="G463"/>
      <c r="H463" t="inlineStr">
        <is>
          <t>Shorts</t>
        </is>
      </c>
      <c r="I463" t="inlineStr">
        <is>
          <t>งานประจำวัน</t>
        </is>
      </c>
      <c r="J463" t="inlineStr">
        <is>
          <t>Done</t>
        </is>
      </c>
      <c r="K463"/>
      <c r="L463" s="3"/>
      <c r="M463" t="inlineStr">
        <is>
          <t>1</t>
        </is>
      </c>
      <c r="N463" t="inlineStr">
        <is>
          <t>Tech</t>
        </is>
      </c>
      <c r="O463"/>
    </row>
    <row r="464" ht="12.75" customHeight="1">
      <c r="A464" t="inlineStr">
        <is>
          <t>TCL สมาร์ทโฟน NXTPAPER 70 Pro และ แท็บเล็ต Note A1 NXTPAPER</t>
        </is>
      </c>
      <c r="B464" t="inlineStr">
        <is>
          <t>Sasithakan Sritonthip</t>
        </is>
      </c>
      <c r="C464" s="2">
        <v>46028</v>
      </c>
      <c r="D464" s="2">
        <v>46028</v>
      </c>
      <c r="E464" t="inlineStr">
        <is>
          <t>ปกติ</t>
        </is>
      </c>
      <c r="F464" s="3" t="str">
        <f>=HYPERLINK("https://9to5google.com/2026/01/05/tcl-upgrades-nxtpaper-series-new-phone-and-tablet/", "https://9to5google.com/2026/01/05/tcl-upgrades-nxtpaper-series-new-phone-and-tablet/")</f>
        <v>https://9to5google.com/2026/01/05/tcl-upgrades-nxtpaper-series-new-phone-and-tablet/</v>
      </c>
      <c r="G464"/>
      <c r="H464" t="inlineStr">
        <is>
          <t>Website</t>
        </is>
      </c>
      <c r="I464" t="inlineStr">
        <is>
          <t>งานประจำวัน</t>
        </is>
      </c>
      <c r="J464" t="inlineStr">
        <is>
          <t>Done</t>
        </is>
      </c>
      <c r="K464"/>
      <c r="L464" s="3" t="str">
        <f>=HYPERLINK("https://www.iphonemod.net/tcl-upgrades-eye-saving-nxtpaper-series-with-a-new-phone-and-note-focused-tablet.html", "https://www.iphonemod.net/tcl-upgrades-eye-saving-nxtpaper-series-with-a-new-phone-and-note-focused-tablet.html")</f>
        <v>https://www.iphonemod.net/tcl-upgrades-eye-saving-nxtpaper-series-with-a-new-phone-and-note-focused-tablet.html</v>
      </c>
      <c r="M464" t="inlineStr">
        <is>
          <t>1</t>
        </is>
      </c>
      <c r="N464" t="inlineStr">
        <is>
          <t>Apple</t>
        </is>
      </c>
      <c r="O464"/>
    </row>
    <row r="465" ht="12.75" customHeight="1">
      <c r="A465" t="inlineStr">
        <is>
          <t>CES 2026 | Kwikset เปิดตัวสมาร์ทล็อก "Aura Reach" ในราคา $189 ดอลลาร์ รองรับมาตรฐาน Matter Integration</t>
        </is>
      </c>
      <c r="B465" t="inlineStr">
        <is>
          <t>Sasithakan Sritonthip</t>
        </is>
      </c>
      <c r="C465" s="2">
        <v>46028</v>
      </c>
      <c r="D465" s="2">
        <v>46028</v>
      </c>
      <c r="E465" t="inlineStr">
        <is>
          <t>ปกติ</t>
        </is>
      </c>
      <c r="F465" s="3" t="str">
        <f>=HYPERLINK("https://www.macrumors.com/2026/01/05/kwikset-aura-reach-lock/", "https://www.macrumors.com/2026/01/05/kwikset-aura-reach-lock/")</f>
        <v>https://www.macrumors.com/2026/01/05/kwikset-aura-reach-lock/</v>
      </c>
      <c r="G465"/>
      <c r="H465" t="inlineStr">
        <is>
          <t>Website</t>
        </is>
      </c>
      <c r="I465" t="inlineStr">
        <is>
          <t>งานประจำวัน</t>
        </is>
      </c>
      <c r="J465" t="inlineStr">
        <is>
          <t>Done</t>
        </is>
      </c>
      <c r="K465"/>
      <c r="L465" s="3" t="str">
        <f>=HYPERLINK("https://www.iphonemod.net/ces-2026-kwikset-launches-189-aura-reach-smart-lock-with-matter-integration.html", "https://www.iphonemod.net/ces-2026-kwikset-launches-189-aura-reach-smart-lock-with-matter-integration.html")</f>
        <v>https://www.iphonemod.net/ces-2026-kwikset-launches-189-aura-reach-smart-lock-with-matter-integration.html</v>
      </c>
      <c r="M465" t="inlineStr">
        <is>
          <t>1</t>
        </is>
      </c>
      <c r="N465" t="inlineStr">
        <is>
          <t>Apple</t>
        </is>
      </c>
      <c r="O465"/>
    </row>
    <row r="466" ht="12.75" customHeight="1">
      <c r="A466" t="inlineStr">
        <is>
          <t xml:space="preserve">Honor Power2 แบต 10,080mAh และชิป Dimensity 8500 Elite </t>
        </is>
      </c>
      <c r="B466" t="inlineStr">
        <is>
          <t>Saktaphat Kordjan</t>
        </is>
      </c>
      <c r="C466" s="2">
        <v>46028</v>
      </c>
      <c r="D466" s="2">
        <v>46028</v>
      </c>
      <c r="E466"/>
      <c r="F466" s="3"/>
      <c r="G466"/>
      <c r="H466" t="inlineStr">
        <is>
          <t>Shorts, Pic Posts / Album, Website</t>
        </is>
      </c>
      <c r="I466" t="inlineStr">
        <is>
          <t>เสนอไอเดีย</t>
        </is>
      </c>
      <c r="J466" t="inlineStr">
        <is>
          <t>Done</t>
        </is>
      </c>
      <c r="K466"/>
      <c r="L466" s="3"/>
      <c r="M466" t="inlineStr">
        <is>
          <t>1</t>
        </is>
      </c>
      <c r="N466" t="inlineStr">
        <is>
          <t>Android</t>
        </is>
      </c>
      <c r="O466"/>
    </row>
    <row r="467" ht="12.75" customHeight="1">
      <c r="A467" t="inlineStr">
        <is>
          <t xml:space="preserve">Apple Watch เปิดโหมดประหยัดพลังงานอัตโนมัติ </t>
        </is>
      </c>
      <c r="B467" t="inlineStr">
        <is>
          <t>Nattida Suriyodara</t>
        </is>
      </c>
      <c r="C467" s="2">
        <v>46027</v>
      </c>
      <c r="D467" s="2">
        <v>46027</v>
      </c>
      <c r="E467"/>
      <c r="F467" s="3"/>
      <c r="G467"/>
      <c r="H467" t="inlineStr">
        <is>
          <t>Website, Shorts</t>
        </is>
      </c>
      <c r="I467" t="inlineStr">
        <is>
          <t>งานประจำวัน</t>
        </is>
      </c>
      <c r="J467" t="inlineStr">
        <is>
          <t>Done</t>
        </is>
      </c>
      <c r="K467"/>
      <c r="L467" s="3"/>
      <c r="M467" t="inlineStr">
        <is>
          <t>1</t>
        </is>
      </c>
      <c r="N467" t="inlineStr">
        <is>
          <t>Apple</t>
        </is>
      </c>
      <c r="O467"/>
    </row>
    <row r="468" ht="12.75" customHeight="1">
      <c r="A468" t="inlineStr">
        <is>
          <t>Apple Watch ทำอะไรได้บ้าง (2026)</t>
        </is>
      </c>
      <c r="B468" t="inlineStr">
        <is>
          <t>Nattida Suriyodara</t>
        </is>
      </c>
      <c r="C468" s="2">
        <v>46027</v>
      </c>
      <c r="D468" s="2">
        <v>46027</v>
      </c>
      <c r="E468"/>
      <c r="F468" s="3"/>
      <c r="G468"/>
      <c r="H468" t="inlineStr">
        <is>
          <t>YouTube</t>
        </is>
      </c>
      <c r="I468" t="inlineStr">
        <is>
          <t>งานประจำวัน</t>
        </is>
      </c>
      <c r="J468" t="inlineStr">
        <is>
          <t>Done</t>
        </is>
      </c>
      <c r="K468"/>
      <c r="L468" s="3"/>
      <c r="M468" t="inlineStr">
        <is>
          <t>1</t>
        </is>
      </c>
      <c r="N468" t="inlineStr">
        <is>
          <t>Apple</t>
        </is>
      </c>
      <c r="O468"/>
    </row>
    <row r="469" ht="12.75" customHeight="1">
      <c r="A469" t="inlineStr">
        <is>
          <t>Govee เปิดตัว โคมไฟ Floor Lamp 3 และโคมไฟเพดานรุ่นใหม่</t>
        </is>
      </c>
      <c r="B469" t="inlineStr">
        <is>
          <t>Saktaphat Kordjan</t>
        </is>
      </c>
      <c r="C469" s="2">
        <v>46027</v>
      </c>
      <c r="D469" s="2">
        <v>46027</v>
      </c>
      <c r="E469"/>
      <c r="F469" s="3"/>
      <c r="G469"/>
      <c r="H469" t="inlineStr">
        <is>
          <t>Website</t>
        </is>
      </c>
      <c r="I469" t="inlineStr">
        <is>
          <t>งานประจำวัน</t>
        </is>
      </c>
      <c r="J469" t="inlineStr">
        <is>
          <t>Done</t>
        </is>
      </c>
      <c r="K469"/>
      <c r="L469" s="3"/>
      <c r="M469" t="inlineStr">
        <is>
          <t>1</t>
        </is>
      </c>
      <c r="N469" t="inlineStr">
        <is>
          <t>Tech, ทั่วไป</t>
        </is>
      </c>
      <c r="O469"/>
    </row>
    <row r="470" ht="12.75" customHeight="1">
      <c r="A470" t="inlineStr">
        <is>
          <t>Pebble Round 2 หน้าจอ e-paper และแบตใช้ได้นาน 2</t>
        </is>
      </c>
      <c r="B470" t="inlineStr">
        <is>
          <t>Saktaphat Kordjan</t>
        </is>
      </c>
      <c r="C470" s="2">
        <v>46027</v>
      </c>
      <c r="D470" s="2">
        <v>46027</v>
      </c>
      <c r="E470"/>
      <c r="F470" s="3"/>
      <c r="G470"/>
      <c r="H470" t="inlineStr">
        <is>
          <t>Website</t>
        </is>
      </c>
      <c r="I470" t="inlineStr">
        <is>
          <t>งานประจำวัน</t>
        </is>
      </c>
      <c r="J470" t="inlineStr">
        <is>
          <t>Done</t>
        </is>
      </c>
      <c r="K470"/>
      <c r="L470" s="3"/>
      <c r="M470" t="inlineStr">
        <is>
          <t>1</t>
        </is>
      </c>
      <c r="N470" t="inlineStr">
        <is>
          <t>ทั่วไป, Tech</t>
        </is>
      </c>
      <c r="O470"/>
    </row>
    <row r="471" ht="12.75" customHeight="1">
      <c r="A471" t="inlineStr">
        <is>
          <t>ข้อมูลหลุด One UI 8.5 Bixby ใหม่ มาพร้อมฟีเจอร์ค้นหาผ่าน Perplexity</t>
        </is>
      </c>
      <c r="B471" t="inlineStr">
        <is>
          <t>Saktaphat Kordjan</t>
        </is>
      </c>
      <c r="C471" s="2">
        <v>46027</v>
      </c>
      <c r="D471" s="2">
        <v>46027</v>
      </c>
      <c r="E471"/>
      <c r="F471" s="3"/>
      <c r="G471"/>
      <c r="H471" t="inlineStr">
        <is>
          <t>Website</t>
        </is>
      </c>
      <c r="I471" t="inlineStr">
        <is>
          <t>งานประจำวัน</t>
        </is>
      </c>
      <c r="J471" t="inlineStr">
        <is>
          <t>Done</t>
        </is>
      </c>
      <c r="K471"/>
      <c r="L471" s="3"/>
      <c r="M471" t="inlineStr">
        <is>
          <t>1</t>
        </is>
      </c>
      <c r="N471" t="inlineStr">
        <is>
          <t>Android</t>
        </is>
      </c>
      <c r="O471"/>
    </row>
    <row r="472" ht="12.75" customHeight="1">
      <c r="A472" t="inlineStr">
        <is>
          <t xml:space="preserve">รวมฟีเจอร์ลับ Samsung </t>
        </is>
      </c>
      <c r="B472" t="inlineStr">
        <is>
          <t>Saktaphat Kordjan</t>
        </is>
      </c>
      <c r="C472" s="2">
        <v>46027</v>
      </c>
      <c r="D472" s="2">
        <v>46027</v>
      </c>
      <c r="E472"/>
      <c r="F472" s="3"/>
      <c r="G472"/>
      <c r="H472" t="inlineStr">
        <is>
          <t>YouTube</t>
        </is>
      </c>
      <c r="I472" t="inlineStr">
        <is>
          <t>เสนอไอเดีย</t>
        </is>
      </c>
      <c r="J472" t="inlineStr">
        <is>
          <t>Done</t>
        </is>
      </c>
      <c r="K472"/>
      <c r="L472" s="3"/>
      <c r="M472" t="inlineStr">
        <is>
          <t>1</t>
        </is>
      </c>
      <c r="N472" t="inlineStr">
        <is>
          <t>Android</t>
        </is>
      </c>
      <c r="O472"/>
    </row>
    <row r="473" ht="12.75" customHeight="1">
      <c r="A473" t="inlineStr">
        <is>
          <t>รวม Wallpaper สมาร์ตโฟนย้อนวันวาน (วันเด็ก 2026)</t>
        </is>
      </c>
      <c r="B473" t="inlineStr">
        <is>
          <t>Saktaphat Kordjan</t>
        </is>
      </c>
      <c r="C473" s="2">
        <v>46027</v>
      </c>
      <c r="D473" s="2">
        <v>46027</v>
      </c>
      <c r="E473"/>
      <c r="F473" s="3"/>
      <c r="G473"/>
      <c r="H473" t="inlineStr">
        <is>
          <t>Pic Posts / Album</t>
        </is>
      </c>
      <c r="I473" t="inlineStr">
        <is>
          <t>เสนอไอเดีย</t>
        </is>
      </c>
      <c r="J473" t="inlineStr">
        <is>
          <t>Done</t>
        </is>
      </c>
      <c r="K473"/>
      <c r="L473" s="3"/>
      <c r="M473" t="inlineStr">
        <is>
          <t>1</t>
        </is>
      </c>
      <c r="N473" t="inlineStr">
        <is>
          <t>Apple, Android</t>
        </is>
      </c>
      <c r="O473"/>
    </row>
    <row r="474" ht="12.75" customHeight="1">
      <c r="A474" t="inlineStr">
        <is>
          <t>CES 2026 | CLOiD LG</t>
        </is>
      </c>
      <c r="B474" t="inlineStr">
        <is>
          <t>Krongkwun  Rithiwong</t>
        </is>
      </c>
      <c r="C474" s="2">
        <v>46027</v>
      </c>
      <c r="D474" s="2">
        <v>46027</v>
      </c>
      <c r="E474" t="inlineStr">
        <is>
          <t>ปกติ</t>
        </is>
      </c>
      <c r="F474" s="3"/>
      <c r="G474"/>
      <c r="H474" t="inlineStr">
        <is>
          <t>Shorts</t>
        </is>
      </c>
      <c r="I474"/>
      <c r="J474" t="inlineStr">
        <is>
          <t>Done</t>
        </is>
      </c>
      <c r="K474"/>
      <c r="L474" s="3"/>
      <c r="M474" t="inlineStr">
        <is>
          <t>1</t>
        </is>
      </c>
      <c r="N474" t="inlineStr">
        <is>
          <t>Tech, AI</t>
        </is>
      </c>
      <c r="O474"/>
    </row>
    <row r="475" ht="12.75" customHeight="1">
      <c r="A475" t="inlineStr">
        <is>
          <t>Oppo Reno15 เปิดตัวสู่ตลาดโลก มาพร้อมชิป Snapdragon 7 Gen 4</t>
        </is>
      </c>
      <c r="B475" t="inlineStr">
        <is>
          <t>Saktaphat Kordjan</t>
        </is>
      </c>
      <c r="C475" s="2">
        <v>46024</v>
      </c>
      <c r="D475" s="2">
        <v>46024</v>
      </c>
      <c r="E475"/>
      <c r="F475" s="3"/>
      <c r="G475"/>
      <c r="H475" t="inlineStr">
        <is>
          <t>Website</t>
        </is>
      </c>
      <c r="I475" t="inlineStr">
        <is>
          <t>งานประจำวัน</t>
        </is>
      </c>
      <c r="J475" t="inlineStr">
        <is>
          <t>Done</t>
        </is>
      </c>
      <c r="K475"/>
      <c r="L475" s="3"/>
      <c r="M475" t="inlineStr">
        <is>
          <t>1</t>
        </is>
      </c>
      <c r="N475" t="inlineStr">
        <is>
          <t>Android</t>
        </is>
      </c>
      <c r="O475"/>
    </row>
    <row r="476" ht="12.75" customHeight="1">
      <c r="A476" t="inlineStr">
        <is>
          <t xml:space="preserve">Honor Power 2 เตรียมเปิดตัว 5 ม.ค. มาพร้อมแบตเตอรี่ 10,080mAh </t>
        </is>
      </c>
      <c r="B476" t="inlineStr">
        <is>
          <t>Saktaphat Kordjan</t>
        </is>
      </c>
      <c r="C476" s="2">
        <v>46024</v>
      </c>
      <c r="D476" s="2">
        <v>46024</v>
      </c>
      <c r="E476"/>
      <c r="F476" s="3"/>
      <c r="G476"/>
      <c r="H476" t="inlineStr">
        <is>
          <t>Pic Posts / Album, Website</t>
        </is>
      </c>
      <c r="I476" t="inlineStr">
        <is>
          <t>งานประจำวัน</t>
        </is>
      </c>
      <c r="J476" t="inlineStr">
        <is>
          <t>Done</t>
        </is>
      </c>
      <c r="K476"/>
      <c r="L476" s="3"/>
      <c r="M476" t="inlineStr">
        <is>
          <t>1</t>
        </is>
      </c>
      <c r="N476" t="inlineStr">
        <is>
          <t>Android</t>
        </is>
      </c>
      <c r="O476"/>
    </row>
    <row r="477" ht="12.75" customHeight="1">
      <c r="A477" t="inlineStr">
        <is>
          <t>Samsung กำลังทดสอบแบตซิลิคอน-คาร์บอนสองเซลล์ 20,000mAh</t>
        </is>
      </c>
      <c r="B477" t="inlineStr">
        <is>
          <t>Saktaphat Kordjan</t>
        </is>
      </c>
      <c r="C477" s="2">
        <v>46023</v>
      </c>
      <c r="D477" s="2">
        <v>46023</v>
      </c>
      <c r="E477"/>
      <c r="F477" s="3"/>
      <c r="G477"/>
      <c r="H477" t="inlineStr">
        <is>
          <t>Website</t>
        </is>
      </c>
      <c r="I477" t="inlineStr">
        <is>
          <t>งานประจำวัน</t>
        </is>
      </c>
      <c r="J477" t="inlineStr">
        <is>
          <t>Done</t>
        </is>
      </c>
      <c r="K477"/>
      <c r="L477" s="3"/>
      <c r="M477" t="inlineStr">
        <is>
          <t>1</t>
        </is>
      </c>
      <c r="N477" t="inlineStr">
        <is>
          <t>Tech</t>
        </is>
      </c>
      <c r="O477"/>
    </row>
    <row r="478" ht="12.75" customHeight="1">
      <c r="A478" t="inlineStr">
        <is>
          <t>Moto X70 Air Pro จะมาพร้อมกล้องเทเลโฟโต้แบบปริทรรศน์</t>
        </is>
      </c>
      <c r="B478" t="inlineStr">
        <is>
          <t>Saktaphat Kordjan</t>
        </is>
      </c>
      <c r="C478" s="2">
        <v>46023</v>
      </c>
      <c r="D478" s="2">
        <v>46023</v>
      </c>
      <c r="E478"/>
      <c r="F478" s="3"/>
      <c r="G478"/>
      <c r="H478" t="inlineStr">
        <is>
          <t>Website</t>
        </is>
      </c>
      <c r="I478" t="inlineStr">
        <is>
          <t>งานประจำวัน</t>
        </is>
      </c>
      <c r="J478" t="inlineStr">
        <is>
          <t>Done</t>
        </is>
      </c>
      <c r="K478"/>
      <c r="L478" s="3"/>
      <c r="M478" t="inlineStr">
        <is>
          <t>1</t>
        </is>
      </c>
      <c r="N478" t="inlineStr">
        <is>
          <t>Android</t>
        </is>
      </c>
      <c r="O478"/>
    </row>
    <row r="479" ht="12.75" customHeight="1">
      <c r="A479" t="inlineStr">
        <is>
          <t>Samsung เตรียมเปิดพื้นที่จัดแสดงเฉพาะของตัวเองในงาน CES</t>
        </is>
      </c>
      <c r="B479" t="inlineStr">
        <is>
          <t>Saktaphat Kordjan</t>
        </is>
      </c>
      <c r="C479" s="2">
        <v>46021</v>
      </c>
      <c r="D479" s="2">
        <v>46021</v>
      </c>
      <c r="E479"/>
      <c r="F479" s="3"/>
      <c r="G479"/>
      <c r="H479" t="inlineStr">
        <is>
          <t>Website</t>
        </is>
      </c>
      <c r="I479" t="inlineStr">
        <is>
          <t>งานประจำวัน</t>
        </is>
      </c>
      <c r="J479" t="inlineStr">
        <is>
          <t>Done</t>
        </is>
      </c>
      <c r="K479"/>
      <c r="L479" s="3"/>
      <c r="M479" t="inlineStr">
        <is>
          <t>1</t>
        </is>
      </c>
      <c r="N479" t="inlineStr">
        <is>
          <t>Tech</t>
        </is>
      </c>
      <c r="O479"/>
    </row>
    <row r="480" ht="12.75" customHeight="1">
      <c r="A480" t="inlineStr">
        <is>
          <t>สิ่งที่ได้ไปต่อ 2026</t>
        </is>
      </c>
      <c r="B480" t="inlineStr">
        <is>
          <t>Nattida Suriyodara</t>
        </is>
      </c>
      <c r="C480" s="2">
        <v>46017</v>
      </c>
      <c r="D480" s="2">
        <v>46017</v>
      </c>
      <c r="E480"/>
      <c r="F480" s="3"/>
      <c r="G480"/>
      <c r="H480" t="inlineStr">
        <is>
          <t>Shorts</t>
        </is>
      </c>
      <c r="I480" t="inlineStr">
        <is>
          <t>งานประจำวัน</t>
        </is>
      </c>
      <c r="J480" t="inlineStr">
        <is>
          <t>Done</t>
        </is>
      </c>
      <c r="K480"/>
      <c r="L480" s="3"/>
      <c r="M480" t="inlineStr">
        <is>
          <t>1</t>
        </is>
      </c>
      <c r="N480" t="inlineStr">
        <is>
          <t>Apple</t>
        </is>
      </c>
      <c r="O480"/>
    </row>
    <row r="481" ht="12.75" customHeight="1">
      <c r="A481" t="inlineStr">
        <is>
          <t>HUAWEI WATCH ULTIMATE DESIGN Royal Gold</t>
        </is>
      </c>
      <c r="B481" t="inlineStr">
        <is>
          <t>Saktaphat Kordjan</t>
        </is>
      </c>
      <c r="C481" s="2">
        <v>46017</v>
      </c>
      <c r="D481" s="2">
        <v>46017</v>
      </c>
      <c r="E481"/>
      <c r="F481" s="3"/>
      <c r="G481"/>
      <c r="H481" t="inlineStr">
        <is>
          <t>Website</t>
        </is>
      </c>
      <c r="I481" t="inlineStr">
        <is>
          <t>งานประจำวัน</t>
        </is>
      </c>
      <c r="J481" t="inlineStr">
        <is>
          <t>Done</t>
        </is>
      </c>
      <c r="K481"/>
      <c r="L481" s="3"/>
      <c r="M481" t="inlineStr">
        <is>
          <t>1</t>
        </is>
      </c>
      <c r="N481" t="inlineStr">
        <is>
          <t>PR</t>
        </is>
      </c>
      <c r="O481"/>
    </row>
    <row r="482" ht="12.75" customHeight="1">
      <c r="A482" t="inlineStr">
        <is>
          <t>Xiaomi 17 Ultra มาพร้อมเซ็นเซอร์ 1″ กล้อง 200MP และแบต 6,800mAh</t>
        </is>
      </c>
      <c r="B482" t="inlineStr">
        <is>
          <t>Saktaphat Kordjan</t>
        </is>
      </c>
      <c r="C482" s="2">
        <v>46017</v>
      </c>
      <c r="D482" s="2">
        <v>46017</v>
      </c>
      <c r="E482"/>
      <c r="F482" s="3"/>
      <c r="G482"/>
      <c r="H482" t="inlineStr">
        <is>
          <t>Website, Pic Posts / Album</t>
        </is>
      </c>
      <c r="I482" t="inlineStr">
        <is>
          <t>เสนอไอเดีย</t>
        </is>
      </c>
      <c r="J482" t="inlineStr">
        <is>
          <t>Done</t>
        </is>
      </c>
      <c r="K482"/>
      <c r="L482" s="3"/>
      <c r="M482" t="inlineStr">
        <is>
          <t>1</t>
        </is>
      </c>
      <c r="N482" t="inlineStr">
        <is>
          <t>Android</t>
        </is>
      </c>
      <c r="O482"/>
    </row>
    <row r="483" ht="12.75" customHeight="1">
      <c r="A483" t="inlineStr">
        <is>
          <t>แนะนำแอป Planner (ในโทรศัพท์)</t>
        </is>
      </c>
      <c r="B483" t="inlineStr">
        <is>
          <t>Krongkwun  Rithiwong</t>
        </is>
      </c>
      <c r="C483" s="2">
        <v>46016</v>
      </c>
      <c r="D483" s="2">
        <v>46016</v>
      </c>
      <c r="E483" t="inlineStr">
        <is>
          <t>ปกติ</t>
        </is>
      </c>
      <c r="F483" s="3"/>
      <c r="G483"/>
      <c r="H483" t="inlineStr">
        <is>
          <t>Shorts</t>
        </is>
      </c>
      <c r="I483" t="inlineStr">
        <is>
          <t>งานประจำวัน</t>
        </is>
      </c>
      <c r="J483" t="inlineStr">
        <is>
          <t>Done</t>
        </is>
      </c>
      <c r="K483"/>
      <c r="L483" s="3"/>
      <c r="M483" t="inlineStr">
        <is>
          <t>1</t>
        </is>
      </c>
      <c r="N483" t="inlineStr">
        <is>
          <t>Tech</t>
        </is>
      </c>
      <c r="O483"/>
    </row>
    <row r="484" ht="12.75" customHeight="1">
      <c r="A484" t="inlineStr">
        <is>
          <t>OPPO เปิดตัว MALTESE Gift Box OPPO Find X9 Series</t>
        </is>
      </c>
      <c r="B484" t="inlineStr">
        <is>
          <t>Saktaphat Kordjan</t>
        </is>
      </c>
      <c r="C484" s="2">
        <v>46016</v>
      </c>
      <c r="D484" s="2">
        <v>46016</v>
      </c>
      <c r="E484"/>
      <c r="F484" s="3"/>
      <c r="G484"/>
      <c r="H484" t="inlineStr">
        <is>
          <t>Website</t>
        </is>
      </c>
      <c r="I484" t="inlineStr">
        <is>
          <t>งานประจำวัน</t>
        </is>
      </c>
      <c r="J484" t="inlineStr">
        <is>
          <t>Done</t>
        </is>
      </c>
      <c r="K484"/>
      <c r="L484" s="3"/>
      <c r="M484" t="inlineStr">
        <is>
          <t>1</t>
        </is>
      </c>
      <c r="N484" t="inlineStr">
        <is>
          <t>Android, PR</t>
        </is>
      </c>
      <c r="O484"/>
    </row>
    <row r="485" ht="12.75" customHeight="1">
      <c r="A485" t="inlineStr">
        <is>
          <t>Xiaomi 17 Ultra มาพร้อมวงแหวนซูมรอบโมดูลกล้อง</t>
        </is>
      </c>
      <c r="B485" t="inlineStr">
        <is>
          <t>Saktaphat Kordjan</t>
        </is>
      </c>
      <c r="C485" s="2">
        <v>46016</v>
      </c>
      <c r="D485" s="2">
        <v>46016</v>
      </c>
      <c r="E485"/>
      <c r="F485" s="3"/>
      <c r="G485"/>
      <c r="H485" t="inlineStr">
        <is>
          <t>Website, Pic Posts / Album</t>
        </is>
      </c>
      <c r="I485" t="inlineStr">
        <is>
          <t>งานประจำวัน</t>
        </is>
      </c>
      <c r="J485" t="inlineStr">
        <is>
          <t>Done</t>
        </is>
      </c>
      <c r="K485"/>
      <c r="L485" s="3"/>
      <c r="M485" t="inlineStr">
        <is>
          <t>1</t>
        </is>
      </c>
      <c r="N485" t="inlineStr">
        <is>
          <t>Android</t>
        </is>
      </c>
      <c r="O485"/>
    </row>
    <row r="486" ht="12.75" customHeight="1">
      <c r="A486" t="inlineStr">
        <is>
          <t>
Samsung เตรียมผลิตเซ็นเซอร์กล้องสำหรับ iPhone</t>
        </is>
      </c>
      <c r="B486" t="inlineStr">
        <is>
          <t>Saktaphat Kordjan</t>
        </is>
      </c>
      <c r="C486" s="2">
        <v>46016</v>
      </c>
      <c r="D486" s="2">
        <v>46016</v>
      </c>
      <c r="E486"/>
      <c r="F486" s="3"/>
      <c r="G486"/>
      <c r="H486" t="inlineStr">
        <is>
          <t>Website</t>
        </is>
      </c>
      <c r="I486" t="inlineStr">
        <is>
          <t>งานประจำวัน</t>
        </is>
      </c>
      <c r="J486" t="inlineStr">
        <is>
          <t>Done</t>
        </is>
      </c>
      <c r="K486"/>
      <c r="L486" s="3"/>
      <c r="M486" t="inlineStr">
        <is>
          <t>1</t>
        </is>
      </c>
      <c r="N486" t="inlineStr">
        <is>
          <t>Android</t>
        </is>
      </c>
      <c r="O486"/>
    </row>
    <row r="487" ht="12.75" customHeight="1">
      <c r="A487" t="inlineStr">
        <is>
          <t xml:space="preserve">รวมมือถือเปิดตัว 2025 </t>
        </is>
      </c>
      <c r="B487" t="inlineStr">
        <is>
          <t>Saktaphat Kordjan</t>
        </is>
      </c>
      <c r="C487" s="2">
        <v>46016</v>
      </c>
      <c r="D487" s="2">
        <v>46016</v>
      </c>
      <c r="E487"/>
      <c r="F487" s="3"/>
      <c r="G487"/>
      <c r="H487" t="inlineStr">
        <is>
          <t>YouTube</t>
        </is>
      </c>
      <c r="I487" t="inlineStr">
        <is>
          <t>เสนอไอเดีย</t>
        </is>
      </c>
      <c r="J487" t="inlineStr">
        <is>
          <t>Done</t>
        </is>
      </c>
      <c r="K487"/>
      <c r="L487" s="3"/>
      <c r="M487" t="inlineStr">
        <is>
          <t>1</t>
        </is>
      </c>
      <c r="N487" t="inlineStr">
        <is>
          <t>Android, Apple</t>
        </is>
      </c>
      <c r="O487"/>
    </row>
    <row r="488" ht="12.75" customHeight="1">
      <c r="A488" t="inlineStr">
        <is>
          <t>vivo OriginOS 6 Flipcard</t>
        </is>
      </c>
      <c r="B488" t="inlineStr">
        <is>
          <t>Saktaphat Kordjan</t>
        </is>
      </c>
      <c r="C488" s="2">
        <v>46016</v>
      </c>
      <c r="D488" s="2">
        <v>46016</v>
      </c>
      <c r="E488"/>
      <c r="F488" s="3"/>
      <c r="G488"/>
      <c r="H488" t="inlineStr">
        <is>
          <t>Shorts</t>
        </is>
      </c>
      <c r="I488" t="inlineStr">
        <is>
          <t>เสนอไอเดีย</t>
        </is>
      </c>
      <c r="J488" t="inlineStr">
        <is>
          <t>Done</t>
        </is>
      </c>
      <c r="K488"/>
      <c r="L488" s="3"/>
      <c r="M488" t="inlineStr">
        <is>
          <t>1</t>
        </is>
      </c>
      <c r="N488" t="inlineStr">
        <is>
          <t>Android</t>
        </is>
      </c>
      <c r="O488"/>
    </row>
    <row r="489" ht="12.75" customHeight="1">
      <c r="A489" t="inlineStr">
        <is>
          <t xml:space="preserve">Google ทยอยให้เปลี่ยนชื่อจีเมล </t>
        </is>
      </c>
      <c r="B489" t="inlineStr">
        <is>
          <t>Saktaphat Kordjan</t>
        </is>
      </c>
      <c r="C489" s="2">
        <v>46016</v>
      </c>
      <c r="D489" s="2">
        <v>46016</v>
      </c>
      <c r="E489"/>
      <c r="F489" s="3"/>
      <c r="G489"/>
      <c r="H489" t="inlineStr">
        <is>
          <t>Shorts</t>
        </is>
      </c>
      <c r="I489" t="inlineStr">
        <is>
          <t>งานประจำวัน</t>
        </is>
      </c>
      <c r="J489" t="inlineStr">
        <is>
          <t>Done</t>
        </is>
      </c>
      <c r="K489"/>
      <c r="L489" s="3"/>
      <c r="M489" t="inlineStr">
        <is>
          <t>1</t>
        </is>
      </c>
      <c r="N489" t="inlineStr">
        <is>
          <t>ทั่วไป</t>
        </is>
      </c>
      <c r="O489"/>
    </row>
    <row r="490" ht="12.75" customHeight="1">
      <c r="A490" t="inlineStr">
        <is>
          <t>วิธีเคลียร์พื้นที่ iPhone ได้พื้นที่ว่างกลับมา (อัปเดต 2026)</t>
        </is>
      </c>
      <c r="B490" t="inlineStr">
        <is>
          <t>Thitirath Kinaret,Sasithakan Sritonthip</t>
        </is>
      </c>
      <c r="C490" s="2">
        <v>46016</v>
      </c>
      <c r="D490" s="2">
        <v>46020</v>
      </c>
      <c r="E490" t="inlineStr">
        <is>
          <t>ปกติ</t>
        </is>
      </c>
      <c r="F490" s="3"/>
      <c r="G490"/>
      <c r="H490" t="inlineStr">
        <is>
          <t>YouTube</t>
        </is>
      </c>
      <c r="I490" t="inlineStr">
        <is>
          <t>งานประจำวัน</t>
        </is>
      </c>
      <c r="J490" t="inlineStr">
        <is>
          <t>Done</t>
        </is>
      </c>
      <c r="K490"/>
      <c r="L490" s="3" t="str">
        <f>=HYPERLINK("https://www.youtube.com/watch?v=CPuRsTz7PPM", "https://www.youtube.com/watch?v=CPuRsTz7PPM")</f>
        <v>https://www.youtube.com/watch?v=CPuRsTz7PPM</v>
      </c>
      <c r="M490" t="inlineStr">
        <is>
          <t>1</t>
        </is>
      </c>
      <c r="N490" t="inlineStr">
        <is>
          <t>Apple</t>
        </is>
      </c>
      <c r="O490"/>
    </row>
    <row r="491" ht="12.75" customHeight="1">
      <c r="A491" t="inlineStr">
        <is>
          <t>(ตัดจากคลิปใหญ่) ไทม์ไลน์เปิดตัวสินค้า Apple 2026-2027</t>
        </is>
      </c>
      <c r="B491" t="inlineStr">
        <is>
          <t>Sasithakan Sritonthip</t>
        </is>
      </c>
      <c r="C491" s="2">
        <v>46016</v>
      </c>
      <c r="D491" s="2">
        <v>46020</v>
      </c>
      <c r="E491" t="inlineStr">
        <is>
          <t>ปกติ</t>
        </is>
      </c>
      <c r="F491" s="3"/>
      <c r="G491"/>
      <c r="H491" t="inlineStr">
        <is>
          <t>Shorts</t>
        </is>
      </c>
      <c r="I491" t="inlineStr">
        <is>
          <t>งานประจำวัน</t>
        </is>
      </c>
      <c r="J491" t="inlineStr">
        <is>
          <t>Done</t>
        </is>
      </c>
      <c r="K491"/>
      <c r="L491" s="3"/>
      <c r="M491" t="inlineStr">
        <is>
          <t>1</t>
        </is>
      </c>
      <c r="N491" t="inlineStr">
        <is>
          <t>Apple</t>
        </is>
      </c>
      <c r="O491"/>
    </row>
    <row r="492" ht="12.75" customHeight="1">
      <c r="A492" t="inlineStr">
        <is>
          <t>(ตัดจากคลิปใหญ่) สาเหตุ Apple เปิดตัวสินค้าแยก ต้นปี ปลายปี (1)</t>
        </is>
      </c>
      <c r="B492" t="inlineStr">
        <is>
          <t>Sasithakan Sritonthip</t>
        </is>
      </c>
      <c r="C492" s="2">
        <v>46016</v>
      </c>
      <c r="D492" s="2">
        <v>46020</v>
      </c>
      <c r="E492" t="inlineStr">
        <is>
          <t>ปกติ</t>
        </is>
      </c>
      <c r="F492" s="3"/>
      <c r="G492"/>
      <c r="H492" t="inlineStr">
        <is>
          <t>Shorts</t>
        </is>
      </c>
      <c r="I492" t="inlineStr">
        <is>
          <t>งานประจำวัน</t>
        </is>
      </c>
      <c r="J492" t="inlineStr">
        <is>
          <t>Done</t>
        </is>
      </c>
      <c r="K492"/>
      <c r="L492" s="3"/>
      <c r="M492" t="inlineStr">
        <is>
          <t>1</t>
        </is>
      </c>
      <c r="N492" t="inlineStr">
        <is>
          <t>Apple</t>
        </is>
      </c>
      <c r="O492"/>
    </row>
    <row r="493" ht="12.75" customHeight="1">
      <c r="A493" t="inlineStr">
        <is>
          <t>(ตัดจากคลิปใหญ่) สาเหตุ Apple เปิดตัวสินค้าแยก ต้นปี ปลายปี (2)</t>
        </is>
      </c>
      <c r="B493" t="inlineStr">
        <is>
          <t>Sasithakan Sritonthip</t>
        </is>
      </c>
      <c r="C493" s="2">
        <v>46016</v>
      </c>
      <c r="D493" s="2">
        <v>46020</v>
      </c>
      <c r="E493" t="inlineStr">
        <is>
          <t>ปกติ</t>
        </is>
      </c>
      <c r="F493" s="3"/>
      <c r="G493"/>
      <c r="H493" t="inlineStr">
        <is>
          <t>Shorts</t>
        </is>
      </c>
      <c r="I493" t="inlineStr">
        <is>
          <t>งานประจำวัน</t>
        </is>
      </c>
      <c r="J493" t="inlineStr">
        <is>
          <t>Done</t>
        </is>
      </c>
      <c r="K493"/>
      <c r="L493" s="3"/>
      <c r="M493" t="inlineStr">
        <is>
          <t>1</t>
        </is>
      </c>
      <c r="N493" t="inlineStr">
        <is>
          <t>Apple</t>
        </is>
      </c>
      <c r="O493"/>
    </row>
    <row r="494" ht="12.75" customHeight="1">
      <c r="A494" t="inlineStr">
        <is>
          <t>(ตัดจากคลิปใหญ่) สาเหตุ Apple เปิดตัวสินค้าแยก ต้นปี ปลายปี (3)</t>
        </is>
      </c>
      <c r="B494" t="inlineStr">
        <is>
          <t>Sasithakan Sritonthip</t>
        </is>
      </c>
      <c r="C494" s="2">
        <v>46016</v>
      </c>
      <c r="D494" s="2">
        <v>46020</v>
      </c>
      <c r="E494" t="inlineStr">
        <is>
          <t>ปกติ</t>
        </is>
      </c>
      <c r="F494" s="3"/>
      <c r="G494"/>
      <c r="H494" t="inlineStr">
        <is>
          <t>Shorts</t>
        </is>
      </c>
      <c r="I494" t="inlineStr">
        <is>
          <t>งานประจำวัน</t>
        </is>
      </c>
      <c r="J494" t="inlineStr">
        <is>
          <t>Done</t>
        </is>
      </c>
      <c r="K494"/>
      <c r="L494" s="3"/>
      <c r="M494" t="inlineStr">
        <is>
          <t>1</t>
        </is>
      </c>
      <c r="N494" t="inlineStr">
        <is>
          <t>Apple</t>
        </is>
      </c>
      <c r="O494"/>
    </row>
    <row r="495" ht="12.75" customHeight="1">
      <c r="A495" t="inlineStr">
        <is>
          <t>AI ก็ทำการ์ดปีใหม่ได้!</t>
        </is>
      </c>
      <c r="B495" t="inlineStr">
        <is>
          <t>Nattida Suriyodara,Sasithakan Sritonthip</t>
        </is>
      </c>
      <c r="C495" s="2">
        <v>46015</v>
      </c>
      <c r="D495" s="2">
        <v>46015</v>
      </c>
      <c r="E495"/>
      <c r="F495" s="3"/>
      <c r="G495"/>
      <c r="H495" t="inlineStr">
        <is>
          <t>Shorts</t>
        </is>
      </c>
      <c r="I495" t="inlineStr">
        <is>
          <t>งานประจำวัน</t>
        </is>
      </c>
      <c r="J495" t="inlineStr">
        <is>
          <t>Done</t>
        </is>
      </c>
      <c r="K495"/>
      <c r="L495" s="3"/>
      <c r="M495" t="inlineStr">
        <is>
          <t>1</t>
        </is>
      </c>
      <c r="N495" t="inlineStr">
        <is>
          <t>AI</t>
        </is>
      </c>
      <c r="O495"/>
    </row>
    <row r="496" ht="12.75" customHeight="1">
      <c r="A496" t="inlineStr">
        <is>
          <t>(ตัดจากคลิปใหญ่) หลุดชื่อสินค้า Apple ที่อาจเปิดตัวต้น-กลางปี 2026 (1)</t>
        </is>
      </c>
      <c r="B496" t="inlineStr">
        <is>
          <t>Sasithakan Sritonthip</t>
        </is>
      </c>
      <c r="C496" s="2">
        <v>46015</v>
      </c>
      <c r="D496" s="2">
        <v>46015</v>
      </c>
      <c r="E496" t="inlineStr">
        <is>
          <t>ปกติ</t>
        </is>
      </c>
      <c r="F496" s="3"/>
      <c r="G496"/>
      <c r="H496" t="inlineStr">
        <is>
          <t>Shorts</t>
        </is>
      </c>
      <c r="I496" t="inlineStr">
        <is>
          <t>งานประจำวัน</t>
        </is>
      </c>
      <c r="J496" t="inlineStr">
        <is>
          <t>Done</t>
        </is>
      </c>
      <c r="K496"/>
      <c r="L496" s="3"/>
      <c r="M496" t="inlineStr">
        <is>
          <t>1</t>
        </is>
      </c>
      <c r="N496" t="inlineStr">
        <is>
          <t>Apple</t>
        </is>
      </c>
      <c r="O496"/>
    </row>
    <row r="497" ht="12.75" customHeight="1">
      <c r="A497" t="inlineStr">
        <is>
          <t>(ตัดจากคลิปใหญ่) หลุดชื่อสินค้า Apple ที่อาจเปิดตัวต้น-กลางปี 2026 (2)</t>
        </is>
      </c>
      <c r="B497" t="inlineStr">
        <is>
          <t>Sasithakan Sritonthip</t>
        </is>
      </c>
      <c r="C497" s="2">
        <v>46015</v>
      </c>
      <c r="D497" s="2">
        <v>46015</v>
      </c>
      <c r="E497" t="inlineStr">
        <is>
          <t>ปกติ</t>
        </is>
      </c>
      <c r="F497" s="3"/>
      <c r="G497"/>
      <c r="H497" t="inlineStr">
        <is>
          <t>Shorts</t>
        </is>
      </c>
      <c r="I497" t="inlineStr">
        <is>
          <t>งานประจำวัน</t>
        </is>
      </c>
      <c r="J497" t="inlineStr">
        <is>
          <t>Done</t>
        </is>
      </c>
      <c r="K497"/>
      <c r="L497" s="3"/>
      <c r="M497" t="inlineStr">
        <is>
          <t>1</t>
        </is>
      </c>
      <c r="N497" t="inlineStr">
        <is>
          <t>Apple</t>
        </is>
      </c>
      <c r="O497"/>
    </row>
    <row r="498" ht="12.75" customHeight="1">
      <c r="A498" t="inlineStr">
        <is>
          <t>(ตัดจากคลิปใหญ่) หลุดชื่อสินค้า Apple ที่อาจเปิดตัวปลายปี 2026</t>
        </is>
      </c>
      <c r="B498" t="inlineStr">
        <is>
          <t>Sasithakan Sritonthip</t>
        </is>
      </c>
      <c r="C498" s="2">
        <v>46015</v>
      </c>
      <c r="D498" s="2">
        <v>46015</v>
      </c>
      <c r="E498" t="inlineStr">
        <is>
          <t>ปกติ</t>
        </is>
      </c>
      <c r="F498" s="3"/>
      <c r="G498"/>
      <c r="H498" t="inlineStr">
        <is>
          <t>Shorts</t>
        </is>
      </c>
      <c r="I498" t="inlineStr">
        <is>
          <t>งานประจำวัน</t>
        </is>
      </c>
      <c r="J498" t="inlineStr">
        <is>
          <t>Done</t>
        </is>
      </c>
      <c r="K498"/>
      <c r="L498" s="3"/>
      <c r="M498" t="inlineStr">
        <is>
          <t>1</t>
        </is>
      </c>
      <c r="N498" t="inlineStr">
        <is>
          <t>Apple</t>
        </is>
      </c>
      <c r="O498"/>
    </row>
    <row r="499" ht="12.75" customHeight="1">
      <c r="A499" t="inlineStr">
        <is>
          <t>(ตัดจากคลิปใหญ่) หลุดชื่อสินค้า Apple ที่อาจเปิดตัวปี  2027</t>
        </is>
      </c>
      <c r="B499" t="inlineStr">
        <is>
          <t>Sasithakan Sritonthip</t>
        </is>
      </c>
      <c r="C499" s="2">
        <v>46015</v>
      </c>
      <c r="D499" s="2">
        <v>46015</v>
      </c>
      <c r="E499" t="inlineStr">
        <is>
          <t>ปกติ</t>
        </is>
      </c>
      <c r="F499" s="3"/>
      <c r="G499"/>
      <c r="H499" t="inlineStr">
        <is>
          <t>Shorts</t>
        </is>
      </c>
      <c r="I499" t="inlineStr">
        <is>
          <t>งานประจำวัน</t>
        </is>
      </c>
      <c r="J499" t="inlineStr">
        <is>
          <t>Done</t>
        </is>
      </c>
      <c r="K499"/>
      <c r="L499" s="3"/>
      <c r="M499" t="inlineStr">
        <is>
          <t>1</t>
        </is>
      </c>
      <c r="N499" t="inlineStr">
        <is>
          <t>Apple</t>
        </is>
      </c>
      <c r="O499"/>
    </row>
    <row r="500" ht="12.75" customHeight="1">
      <c r="A500" t="inlineStr">
        <is>
          <t>แนะนำฟีเจอร์ AI ที่ได้ไปต่อปี 2026</t>
        </is>
      </c>
      <c r="B500" t="inlineStr">
        <is>
          <t>Nattida Suriyodara</t>
        </is>
      </c>
      <c r="C500" s="2">
        <v>46014</v>
      </c>
      <c r="D500" s="2">
        <v>46014</v>
      </c>
      <c r="E500"/>
      <c r="F500" s="3"/>
      <c r="G500"/>
      <c r="H500" t="inlineStr">
        <is>
          <t>YouTube</t>
        </is>
      </c>
      <c r="I500" t="inlineStr">
        <is>
          <t>งานประจำวัน</t>
        </is>
      </c>
      <c r="J500" t="inlineStr">
        <is>
          <t>Done</t>
        </is>
      </c>
      <c r="K500"/>
      <c r="L500" s="3"/>
      <c r="M500" t="inlineStr">
        <is>
          <t>1</t>
        </is>
      </c>
      <c r="N500" t="inlineStr">
        <is>
          <t>AI</t>
        </is>
      </c>
      <c r="O500"/>
    </row>
    <row r="501" ht="12.75" customHeight="1">
      <c r="A501" t="inlineStr">
        <is>
          <t>ไอเดียทำการ์ด Christmas &amp; Happy New Year ด้วย AI 
</t>
        </is>
      </c>
      <c r="B501" t="inlineStr">
        <is>
          <t>Nattida Suriyodara</t>
        </is>
      </c>
      <c r="C501" s="2">
        <v>46014</v>
      </c>
      <c r="D501" s="2">
        <v>46014</v>
      </c>
      <c r="E501"/>
      <c r="F501" s="3"/>
      <c r="G501"/>
      <c r="H501" t="inlineStr">
        <is>
          <t>YouTube</t>
        </is>
      </c>
      <c r="I501" t="inlineStr">
        <is>
          <t>งานประจำวัน</t>
        </is>
      </c>
      <c r="J501" t="inlineStr">
        <is>
          <t>Done</t>
        </is>
      </c>
      <c r="K501"/>
      <c r="L501" s="3"/>
      <c r="M501" t="inlineStr">
        <is>
          <t>1</t>
        </is>
      </c>
      <c r="N501" t="inlineStr">
        <is>
          <t>AI</t>
        </is>
      </c>
      <c r="O501"/>
    </row>
    <row r="502" ht="12.75" customHeight="1">
      <c r="A502" t="inlineStr">
        <is>
          <t>Samsung จะเป็นผู้จัดหาชิปหน่วยความจำหลักให้ Apple</t>
        </is>
      </c>
      <c r="B502" t="inlineStr">
        <is>
          <t>Saktaphat Kordjan</t>
        </is>
      </c>
      <c r="C502" s="2">
        <v>46014</v>
      </c>
      <c r="D502" s="2">
        <v>46014</v>
      </c>
      <c r="E502"/>
      <c r="F502" s="3"/>
      <c r="G502"/>
      <c r="H502" t="inlineStr">
        <is>
          <t>Website</t>
        </is>
      </c>
      <c r="I502" t="inlineStr">
        <is>
          <t>งานประจำวัน</t>
        </is>
      </c>
      <c r="J502" t="inlineStr">
        <is>
          <t>Done</t>
        </is>
      </c>
      <c r="K502"/>
      <c r="L502" s="3"/>
      <c r="M502" t="inlineStr">
        <is>
          <t>1</t>
        </is>
      </c>
      <c r="N502" t="inlineStr">
        <is>
          <t>Android</t>
        </is>
      </c>
      <c r="O502"/>
    </row>
    <row r="503" ht="12.75" customHeight="1">
      <c r="A503" t="inlineStr">
        <is>
          <t xml:space="preserve">Huawei เปิดตัว Watch 5 รุ่นฉลองครบรอบ 10 ปี, Watch GT 6 สีใหม่ </t>
        </is>
      </c>
      <c r="B503" t="inlineStr">
        <is>
          <t>Saktaphat Kordjan</t>
        </is>
      </c>
      <c r="C503" s="2">
        <v>46014</v>
      </c>
      <c r="D503" s="2">
        <v>46014</v>
      </c>
      <c r="E503"/>
      <c r="F503" s="3"/>
      <c r="G503"/>
      <c r="H503" t="inlineStr">
        <is>
          <t>Website</t>
        </is>
      </c>
      <c r="I503" t="inlineStr">
        <is>
          <t>งานประจำวัน</t>
        </is>
      </c>
      <c r="J503" t="inlineStr">
        <is>
          <t>Done</t>
        </is>
      </c>
      <c r="K503"/>
      <c r="L503" s="3"/>
      <c r="M503" t="inlineStr">
        <is>
          <t>1</t>
        </is>
      </c>
      <c r="N503" t="inlineStr">
        <is>
          <t>Android</t>
        </is>
      </c>
      <c r="O503"/>
    </row>
    <row r="504" ht="12.75" customHeight="1">
      <c r="A504" t="inlineStr">
        <is>
          <t xml:space="preserve">รวมวิธีส่งไฟล์ Android iOS </t>
        </is>
      </c>
      <c r="B504" t="inlineStr">
        <is>
          <t>Saktaphat Kordjan</t>
        </is>
      </c>
      <c r="C504" s="2">
        <v>46014</v>
      </c>
      <c r="D504" s="2">
        <v>46014</v>
      </c>
      <c r="E504"/>
      <c r="F504" s="3"/>
      <c r="G504"/>
      <c r="H504" t="inlineStr">
        <is>
          <t>YouTube</t>
        </is>
      </c>
      <c r="I504" t="inlineStr">
        <is>
          <t>เสนอไอเดีย</t>
        </is>
      </c>
      <c r="J504" t="inlineStr">
        <is>
          <t>Done</t>
        </is>
      </c>
      <c r="K504"/>
      <c r="L504" s="3"/>
      <c r="M504" t="inlineStr">
        <is>
          <t>1</t>
        </is>
      </c>
      <c r="N504" t="inlineStr">
        <is>
          <t>Android, Apple</t>
        </is>
      </c>
      <c r="O504"/>
    </row>
    <row r="505" ht="12.75" customHeight="1">
      <c r="A505" t="inlineStr">
        <is>
          <t xml:space="preserve">Realme เผยรายละเอียดกล้องของ 16 Pro และ 16 Pro+ </t>
        </is>
      </c>
      <c r="B505" t="inlineStr">
        <is>
          <t>Saktaphat Kordjan</t>
        </is>
      </c>
      <c r="C505" s="2">
        <v>46014</v>
      </c>
      <c r="D505" s="2">
        <v>46014</v>
      </c>
      <c r="E505"/>
      <c r="F505" s="3"/>
      <c r="G505"/>
      <c r="H505" t="inlineStr">
        <is>
          <t>Website</t>
        </is>
      </c>
      <c r="I505" t="inlineStr">
        <is>
          <t>งานประจำวัน</t>
        </is>
      </c>
      <c r="J505" t="inlineStr">
        <is>
          <t>Done</t>
        </is>
      </c>
      <c r="K505"/>
      <c r="L505" s="3"/>
      <c r="M505" t="inlineStr">
        <is>
          <t>1</t>
        </is>
      </c>
      <c r="N505" t="inlineStr">
        <is>
          <t>Android</t>
        </is>
      </c>
      <c r="O505"/>
    </row>
    <row r="506" ht="12.75" customHeight="1">
      <c r="A506" t="inlineStr">
        <is>
          <t>ทำไม Apple ถึงต้องแยกเปิดตัว iPhone สองรอบ (ต้นปี-ปลายปี)</t>
        </is>
      </c>
      <c r="B506" t="inlineStr">
        <is>
          <t>Thitirath Kinaret,Sasithakan Sritonthip</t>
        </is>
      </c>
      <c r="C506" s="2">
        <v>46014</v>
      </c>
      <c r="D506" s="2">
        <v>46020</v>
      </c>
      <c r="E506" t="inlineStr">
        <is>
          <t>ปกติ</t>
        </is>
      </c>
      <c r="F506" s="3"/>
      <c r="G506"/>
      <c r="H506" t="inlineStr">
        <is>
          <t>YouTube</t>
        </is>
      </c>
      <c r="I506" t="inlineStr">
        <is>
          <t>งานประจำวัน</t>
        </is>
      </c>
      <c r="J506" t="inlineStr">
        <is>
          <t>Done</t>
        </is>
      </c>
      <c r="K506"/>
      <c r="L506" s="3" t="str">
        <f>=HYPERLINK("https://www.youtube.com/watch?v=-rY9Eg47FjA", "https://www.youtube.com/watch?v=-rY9Eg47FjA")</f>
        <v>https://www.youtube.com/watch?v=-rY9Eg47FjA</v>
      </c>
      <c r="M506" t="inlineStr">
        <is>
          <t>1</t>
        </is>
      </c>
      <c r="N506" t="inlineStr">
        <is>
          <t>Apple</t>
        </is>
      </c>
      <c r="O506"/>
    </row>
    <row r="507" ht="12.75" customHeight="1">
      <c r="A507" t="inlineStr">
        <is>
          <t>วิธีโหลดแอปไว้ใน Apple Watch</t>
        </is>
      </c>
      <c r="B507" t="inlineStr">
        <is>
          <t>Nattida Suriyodara</t>
        </is>
      </c>
      <c r="C507" s="2">
        <v>46013</v>
      </c>
      <c r="D507" s="2">
        <v>46013</v>
      </c>
      <c r="E507"/>
      <c r="F507" s="3"/>
      <c r="G507"/>
      <c r="H507" t="inlineStr">
        <is>
          <t>Shorts</t>
        </is>
      </c>
      <c r="I507" t="inlineStr">
        <is>
          <t>งานประจำวัน</t>
        </is>
      </c>
      <c r="J507" t="inlineStr">
        <is>
          <t>Done</t>
        </is>
      </c>
      <c r="K507"/>
      <c r="L507" s="3"/>
      <c r="M507" t="inlineStr">
        <is>
          <t>1</t>
        </is>
      </c>
      <c r="N507" t="inlineStr">
        <is>
          <t>Apple</t>
        </is>
      </c>
      <c r="O507"/>
    </row>
    <row r="508" ht="12.75" customHeight="1">
      <c r="A508" t="inlineStr">
        <is>
          <t>Hypertension Notifications ในออสเตรเลีย</t>
        </is>
      </c>
      <c r="B508" t="inlineStr">
        <is>
          <t>Nattida Suriyodara</t>
        </is>
      </c>
      <c r="C508" s="2">
        <v>46013</v>
      </c>
      <c r="D508" s="2">
        <v>46013</v>
      </c>
      <c r="E508"/>
      <c r="F508" s="3"/>
      <c r="G508"/>
      <c r="H508" t="inlineStr">
        <is>
          <t>Website</t>
        </is>
      </c>
      <c r="I508" t="inlineStr">
        <is>
          <t>งานประจำวัน</t>
        </is>
      </c>
      <c r="J508" t="inlineStr">
        <is>
          <t>Done</t>
        </is>
      </c>
      <c r="K508"/>
      <c r="L508" s="3"/>
      <c r="M508" t="inlineStr">
        <is>
          <t>1</t>
        </is>
      </c>
      <c r="N508" t="inlineStr">
        <is>
          <t>Apple</t>
        </is>
      </c>
      <c r="O508"/>
    </row>
    <row r="509" ht="12.75" customHeight="1">
      <c r="A509" t="inlineStr">
        <is>
          <t>พาชม OriginOS6</t>
        </is>
      </c>
      <c r="B509" t="inlineStr">
        <is>
          <t>Saktaphat Kordjan</t>
        </is>
      </c>
      <c r="C509" s="2">
        <v>46013</v>
      </c>
      <c r="D509" s="2">
        <v>46013</v>
      </c>
      <c r="E509"/>
      <c r="F509" s="3"/>
      <c r="G509"/>
      <c r="H509" t="inlineStr">
        <is>
          <t>YouTube</t>
        </is>
      </c>
      <c r="I509" t="inlineStr">
        <is>
          <t>เสนอไอเดีย</t>
        </is>
      </c>
      <c r="J509" t="inlineStr">
        <is>
          <t>Done</t>
        </is>
      </c>
      <c r="K509"/>
      <c r="L509" s="3"/>
      <c r="M509" t="inlineStr">
        <is>
          <t>1</t>
        </is>
      </c>
      <c r="N509" t="inlineStr">
        <is>
          <t>Android</t>
        </is>
      </c>
      <c r="O509"/>
    </row>
    <row r="510" ht="12.75" customHeight="1">
      <c r="A510" t="inlineStr">
        <is>
          <t>เตรียมเปิดตัว Xiaomi 17 Ultra</t>
        </is>
      </c>
      <c r="B510" t="inlineStr">
        <is>
          <t>Saktaphat Kordjan</t>
        </is>
      </c>
      <c r="C510" s="2">
        <v>46013</v>
      </c>
      <c r="D510" s="2">
        <v>46013</v>
      </c>
      <c r="E510"/>
      <c r="F510" s="3"/>
      <c r="G510"/>
      <c r="H510" t="inlineStr">
        <is>
          <t>Website, Pic Posts / Album, Shorts</t>
        </is>
      </c>
      <c r="I510" t="inlineStr">
        <is>
          <t>งานประจำวัน</t>
        </is>
      </c>
      <c r="J510" t="inlineStr">
        <is>
          <t>Done</t>
        </is>
      </c>
      <c r="K510"/>
      <c r="L510" s="3"/>
      <c r="M510" t="inlineStr">
        <is>
          <t>1</t>
        </is>
      </c>
      <c r="N510" t="inlineStr">
        <is>
          <t>Android</t>
        </is>
      </c>
      <c r="O510"/>
    </row>
    <row r="511" ht="12.75" customHeight="1">
      <c r="A511" t="inlineStr">
        <is>
          <t>หลุดข้อมูลสเปกกล้องของ Oppo Find X9 Ultra</t>
        </is>
      </c>
      <c r="B511" t="inlineStr">
        <is>
          <t>Saktaphat Kordjan</t>
        </is>
      </c>
      <c r="C511" s="2">
        <v>46013</v>
      </c>
      <c r="D511" s="2">
        <v>46013</v>
      </c>
      <c r="E511"/>
      <c r="F511" s="3"/>
      <c r="G511"/>
      <c r="H511" t="inlineStr">
        <is>
          <t>Website</t>
        </is>
      </c>
      <c r="I511" t="inlineStr">
        <is>
          <t>งานประจำวัน</t>
        </is>
      </c>
      <c r="J511" t="inlineStr">
        <is>
          <t>Done</t>
        </is>
      </c>
      <c r="K511"/>
      <c r="L511" s="3"/>
      <c r="M511" t="inlineStr">
        <is>
          <t>1</t>
        </is>
      </c>
      <c r="N511" t="inlineStr">
        <is>
          <t>Android</t>
        </is>
      </c>
      <c r="O511"/>
    </row>
    <row r="512" ht="12.75" customHeight="1">
      <c r="A512" t="inlineStr">
        <is>
          <t>วิธีลงทะเบียนเลือกตั้งล่วงหน้า</t>
        </is>
      </c>
      <c r="B512" t="inlineStr">
        <is>
          <t>Krongkwun  Rithiwong</t>
        </is>
      </c>
      <c r="C512" s="2">
        <v>46013</v>
      </c>
      <c r="D512" s="2">
        <v>46013</v>
      </c>
      <c r="E512" t="inlineStr">
        <is>
          <t>ด่วน!</t>
        </is>
      </c>
      <c r="F512" s="3"/>
      <c r="G512"/>
      <c r="H512" t="inlineStr">
        <is>
          <t>Shorts</t>
        </is>
      </c>
      <c r="I512" t="inlineStr">
        <is>
          <t>งานประจำวัน</t>
        </is>
      </c>
      <c r="J512" t="inlineStr">
        <is>
          <t>Done</t>
        </is>
      </c>
      <c r="K512"/>
      <c r="L512" s="3"/>
      <c r="M512" t="inlineStr">
        <is>
          <t>1</t>
        </is>
      </c>
      <c r="N512" t="inlineStr">
        <is>
          <t>Tech</t>
        </is>
      </c>
      <c r="O512"/>
    </row>
    <row r="513" ht="12.75" customHeight="1">
      <c r="A513" t="inlineStr">
        <is>
          <t>Airpods Pro 3 มีปัญหาเหมือนเดิม</t>
        </is>
      </c>
      <c r="B513" t="inlineStr">
        <is>
          <t>Krongkwun  Rithiwong</t>
        </is>
      </c>
      <c r="C513" s="2">
        <v>46013</v>
      </c>
      <c r="D513" s="2">
        <v>46013</v>
      </c>
      <c r="E513" t="inlineStr">
        <is>
          <t>ปกติ</t>
        </is>
      </c>
      <c r="F513" s="3"/>
      <c r="G513"/>
      <c r="H513" t="inlineStr">
        <is>
          <t>Shorts</t>
        </is>
      </c>
      <c r="I513" t="inlineStr">
        <is>
          <t>งานประจำวัน</t>
        </is>
      </c>
      <c r="J513" t="inlineStr">
        <is>
          <t>Done</t>
        </is>
      </c>
      <c r="K513"/>
      <c r="L513" s="3"/>
      <c r="M513" t="inlineStr">
        <is>
          <t>1</t>
        </is>
      </c>
      <c r="N513" t="inlineStr">
        <is>
          <t>Apple</t>
        </is>
      </c>
      <c r="O513"/>
    </row>
    <row r="514" ht="12.75" customHeight="1">
      <c r="A514" t="inlineStr">
        <is>
          <t>(ตัดจากคลิปใหญ่) AirPods 4 - 4 ANC เหมาะกับใคร</t>
        </is>
      </c>
      <c r="B514" t="inlineStr">
        <is>
          <t>Sasithakan Sritonthip</t>
        </is>
      </c>
      <c r="C514" s="2">
        <v>46013</v>
      </c>
      <c r="D514" s="2">
        <v>46013</v>
      </c>
      <c r="E514" t="inlineStr">
        <is>
          <t>ปกติ</t>
        </is>
      </c>
      <c r="F514" s="3"/>
      <c r="G514"/>
      <c r="H514" t="inlineStr">
        <is>
          <t>Shorts</t>
        </is>
      </c>
      <c r="I514" t="inlineStr">
        <is>
          <t>งานประจำวัน</t>
        </is>
      </c>
      <c r="J514" t="inlineStr">
        <is>
          <t>Done</t>
        </is>
      </c>
      <c r="K514"/>
      <c r="L514" s="3"/>
      <c r="M514" t="inlineStr">
        <is>
          <t>1</t>
        </is>
      </c>
      <c r="N514" t="inlineStr">
        <is>
          <t>Apple</t>
        </is>
      </c>
      <c r="O514"/>
    </row>
    <row r="515" ht="12.75" customHeight="1">
      <c r="A515" t="inlineStr">
        <is>
          <t>(ตัดจากคลิปใหญ่) AirPods Pro 3 เหมาะกับใคร</t>
        </is>
      </c>
      <c r="B515" t="inlineStr">
        <is>
          <t>Sasithakan Sritonthip</t>
        </is>
      </c>
      <c r="C515" s="2">
        <v>46013</v>
      </c>
      <c r="D515" s="2">
        <v>46013</v>
      </c>
      <c r="E515" t="inlineStr">
        <is>
          <t>ปกติ</t>
        </is>
      </c>
      <c r="F515" s="3"/>
      <c r="G515"/>
      <c r="H515" t="inlineStr">
        <is>
          <t>Shorts</t>
        </is>
      </c>
      <c r="I515" t="inlineStr">
        <is>
          <t>งานประจำวัน</t>
        </is>
      </c>
      <c r="J515" t="inlineStr">
        <is>
          <t>Done</t>
        </is>
      </c>
      <c r="K515"/>
      <c r="L515" s="3"/>
      <c r="M515" t="inlineStr">
        <is>
          <t>1</t>
        </is>
      </c>
      <c r="N515" t="inlineStr">
        <is>
          <t>Apple</t>
        </is>
      </c>
      <c r="O515"/>
    </row>
    <row r="516" ht="12.75" customHeight="1">
      <c r="A516" t="inlineStr">
        <is>
          <t>(ตัดจากคลิปใหญ่) AirPods Max เหมาะกับใคร</t>
        </is>
      </c>
      <c r="B516" t="inlineStr">
        <is>
          <t>Sasithakan Sritonthip</t>
        </is>
      </c>
      <c r="C516" s="2">
        <v>46013</v>
      </c>
      <c r="D516" s="2">
        <v>46013</v>
      </c>
      <c r="E516" t="inlineStr">
        <is>
          <t>ปกติ</t>
        </is>
      </c>
      <c r="F516" s="3"/>
      <c r="G516"/>
      <c r="H516" t="inlineStr">
        <is>
          <t>Shorts</t>
        </is>
      </c>
      <c r="I516" t="inlineStr">
        <is>
          <t>งานประจำวัน</t>
        </is>
      </c>
      <c r="J516" t="inlineStr">
        <is>
          <t>Done</t>
        </is>
      </c>
      <c r="K516"/>
      <c r="L516" s="3"/>
      <c r="M516" t="inlineStr">
        <is>
          <t>1</t>
        </is>
      </c>
      <c r="N516" t="inlineStr">
        <is>
          <t>Apple</t>
        </is>
      </c>
      <c r="O516"/>
    </row>
    <row r="517" ht="12.75" customHeight="1">
      <c r="A517" t="inlineStr">
        <is>
          <t>หลุดชื่อสินค้า Apple News Leaks 2026 - 2027</t>
        </is>
      </c>
      <c r="B517" t="inlineStr">
        <is>
          <t>Thitirath Kinaret,Sasithakan Sritonthip</t>
        </is>
      </c>
      <c r="C517" s="2">
        <v>46011</v>
      </c>
      <c r="D517" s="2">
        <v>46011</v>
      </c>
      <c r="E517" t="inlineStr">
        <is>
          <t>ปกติ</t>
        </is>
      </c>
      <c r="F517" s="3" t="str">
        <f>=HYPERLINK("https://www.iphonemod.net/apple-product-roadmaps-2026-2027-by-ios-26-and-kernel-debug-kits.html", "https://www.iphonemod.net/apple-product-roadmaps-2026-2027-by-ios-26-and-kernel-debug-kits.html")</f>
        <v>https://www.iphonemod.net/apple-product-roadmaps-2026-2027-by-ios-26-and-kernel-debug-kits.html</v>
      </c>
      <c r="G517"/>
      <c r="H517" t="inlineStr">
        <is>
          <t>YouTube</t>
        </is>
      </c>
      <c r="I517" t="inlineStr">
        <is>
          <t>งานประจำวัน</t>
        </is>
      </c>
      <c r="J517" t="inlineStr">
        <is>
          <t>Done</t>
        </is>
      </c>
      <c r="K517"/>
      <c r="L517" s="3" t="str">
        <f>=HYPERLINK("https://youtu.be/k9b4MC3ukB0?si=nyQ2McDWDEr47r5z", "https://youtu.be/k9b4MC3ukB0?si=nyQ2McDWDEr47r5z")</f>
        <v>https://youtu.be/k9b4MC3ukB0?si=nyQ2McDWDEr47r5z</v>
      </c>
      <c r="M517" t="inlineStr">
        <is>
          <t>1</t>
        </is>
      </c>
      <c r="N517" t="inlineStr">
        <is>
          <t>Apple</t>
        </is>
      </c>
      <c r="O517"/>
    </row>
    <row r="518" ht="12.75" customHeight="1">
      <c r="A518" t="inlineStr">
        <is>
          <t xml:space="preserve">TikTok ในสหรัฐฯ </t>
        </is>
      </c>
      <c r="B518" t="inlineStr">
        <is>
          <t>Nattida Suriyodara</t>
        </is>
      </c>
      <c r="C518" s="2">
        <v>46010</v>
      </c>
      <c r="D518" s="2">
        <v>46010</v>
      </c>
      <c r="E518"/>
      <c r="F518" s="3"/>
      <c r="G518"/>
      <c r="H518" t="inlineStr">
        <is>
          <t>Website, Pic Posts / Album</t>
        </is>
      </c>
      <c r="I518" t="inlineStr">
        <is>
          <t>งานประจำวัน</t>
        </is>
      </c>
      <c r="J518" t="inlineStr">
        <is>
          <t>Done</t>
        </is>
      </c>
      <c r="K518"/>
      <c r="L518" s="3"/>
      <c r="M518" t="inlineStr">
        <is>
          <t>1</t>
        </is>
      </c>
      <c r="N518" t="inlineStr">
        <is>
          <t>ทั่วไป</t>
        </is>
      </c>
      <c r="O518"/>
    </row>
    <row r="519" ht="12.75" customHeight="1">
      <c r="A519" t="inlineStr">
        <is>
          <t>อัปเดตแอปใน Apple Watch 2025</t>
        </is>
      </c>
      <c r="B519" t="inlineStr">
        <is>
          <t>Nattida Suriyodara</t>
        </is>
      </c>
      <c r="C519" s="2">
        <v>46010</v>
      </c>
      <c r="D519" s="2">
        <v>46010</v>
      </c>
      <c r="E519"/>
      <c r="F519" s="3"/>
      <c r="G519"/>
      <c r="H519" t="inlineStr">
        <is>
          <t>Website</t>
        </is>
      </c>
      <c r="I519" t="inlineStr">
        <is>
          <t>งานประจำวัน</t>
        </is>
      </c>
      <c r="J519" t="inlineStr">
        <is>
          <t>Done</t>
        </is>
      </c>
      <c r="K519"/>
      <c r="L519" s="3"/>
      <c r="M519" t="inlineStr">
        <is>
          <t>1</t>
        </is>
      </c>
      <c r="N519" t="inlineStr">
        <is>
          <t>Apple</t>
        </is>
      </c>
      <c r="O519"/>
    </row>
    <row r="520" ht="12.75" customHeight="1">
      <c r="A520" t="inlineStr">
        <is>
          <t>iPad MIni เหมาะกับใคร?</t>
        </is>
      </c>
      <c r="B520" t="inlineStr">
        <is>
          <t>Krongkwun  Rithiwong</t>
        </is>
      </c>
      <c r="C520" s="2">
        <v>46010</v>
      </c>
      <c r="D520" s="2">
        <v>46010</v>
      </c>
      <c r="E520" t="inlineStr">
        <is>
          <t>ปกติ</t>
        </is>
      </c>
      <c r="F520" s="3"/>
      <c r="G520"/>
      <c r="H520" t="inlineStr">
        <is>
          <t>Shorts</t>
        </is>
      </c>
      <c r="I520" t="inlineStr">
        <is>
          <t>งานประจำวัน</t>
        </is>
      </c>
      <c r="J520" t="inlineStr">
        <is>
          <t>Done</t>
        </is>
      </c>
      <c r="K520"/>
      <c r="L520" s="3"/>
      <c r="M520" t="inlineStr">
        <is>
          <t>1</t>
        </is>
      </c>
      <c r="N520" t="inlineStr">
        <is>
          <t>Apple</t>
        </is>
      </c>
      <c r="O520"/>
    </row>
    <row r="521" ht="12.75" customHeight="1">
      <c r="A521" t="inlineStr">
        <is>
          <t>หลุดสีของ Honor Magic8 Mini พร้อมข้อมูลสเปกเพิ่มเติม</t>
        </is>
      </c>
      <c r="B521" t="inlineStr">
        <is>
          <t>Saktaphat Kordjan</t>
        </is>
      </c>
      <c r="C521" s="2">
        <v>46010</v>
      </c>
      <c r="D521" s="2">
        <v>46010</v>
      </c>
      <c r="E521"/>
      <c r="F521" s="3"/>
      <c r="G521"/>
      <c r="H521" t="inlineStr">
        <is>
          <t>Website</t>
        </is>
      </c>
      <c r="I521" t="inlineStr">
        <is>
          <t>งานประจำวัน</t>
        </is>
      </c>
      <c r="J521" t="inlineStr">
        <is>
          <t>Done</t>
        </is>
      </c>
      <c r="K521"/>
      <c r="L521" s="3"/>
      <c r="M521" t="inlineStr">
        <is>
          <t>1</t>
        </is>
      </c>
      <c r="N521" t="inlineStr">
        <is>
          <t>Android</t>
        </is>
      </c>
      <c r="O521"/>
    </row>
    <row r="522" ht="12.75" customHeight="1">
      <c r="A522" t="inlineStr">
        <is>
          <t>Samsung เปิดตัว Exynos 2600 ชิปสมาร์ตโฟน 2nm ตัวแรก</t>
        </is>
      </c>
      <c r="B522" t="inlineStr">
        <is>
          <t>Saktaphat Kordjan</t>
        </is>
      </c>
      <c r="C522" s="2">
        <v>46010</v>
      </c>
      <c r="D522" s="2">
        <v>46010</v>
      </c>
      <c r="E522"/>
      <c r="F522" s="3"/>
      <c r="G522"/>
      <c r="H522" t="inlineStr">
        <is>
          <t>Website, Pic Posts / Album</t>
        </is>
      </c>
      <c r="I522" t="inlineStr">
        <is>
          <t>งานประจำวัน</t>
        </is>
      </c>
      <c r="J522" t="inlineStr">
        <is>
          <t>Done</t>
        </is>
      </c>
      <c r="K522"/>
      <c r="L522" s="3"/>
      <c r="M522" t="inlineStr">
        <is>
          <t>1</t>
        </is>
      </c>
      <c r="N522" t="inlineStr">
        <is>
          <t>Android</t>
        </is>
      </c>
      <c r="O522"/>
    </row>
    <row r="523" ht="12.75" customHeight="1">
      <c r="A523" t="inlineStr">
        <is>
          <t>Galaxy Z Fold8 จะมาพร้อมการปรับปรุงกล้องครั้งใหญ่</t>
        </is>
      </c>
      <c r="B523" t="inlineStr">
        <is>
          <t>Saktaphat Kordjan</t>
        </is>
      </c>
      <c r="C523" s="2">
        <v>46010</v>
      </c>
      <c r="D523" s="2">
        <v>46010</v>
      </c>
      <c r="E523"/>
      <c r="F523" s="3"/>
      <c r="G523"/>
      <c r="H523" t="inlineStr">
        <is>
          <t>Website</t>
        </is>
      </c>
      <c r="I523" t="inlineStr">
        <is>
          <t>งานประจำวัน</t>
        </is>
      </c>
      <c r="J523" t="inlineStr">
        <is>
          <t>Done</t>
        </is>
      </c>
      <c r="K523"/>
      <c r="L523" s="3"/>
      <c r="M523" t="inlineStr">
        <is>
          <t>1</t>
        </is>
      </c>
      <c r="N523" t="inlineStr">
        <is>
          <t>Android</t>
        </is>
      </c>
      <c r="O523"/>
    </row>
    <row r="524" ht="12.75" customHeight="1">
      <c r="A524" t="inlineStr">
        <is>
          <t>อัปเดตข่าวไอที</t>
        </is>
      </c>
      <c r="B524" t="inlineStr">
        <is>
          <t>Saktaphat Kordjan</t>
        </is>
      </c>
      <c r="C524" s="2">
        <v>46010</v>
      </c>
      <c r="D524" s="2">
        <v>46010</v>
      </c>
      <c r="E524"/>
      <c r="F524" s="3"/>
      <c r="G524"/>
      <c r="H524" t="inlineStr">
        <is>
          <t>YouTube</t>
        </is>
      </c>
      <c r="I524" t="inlineStr">
        <is>
          <t>เสนอไอเดีย</t>
        </is>
      </c>
      <c r="J524" t="inlineStr">
        <is>
          <t>Done</t>
        </is>
      </c>
      <c r="K524"/>
      <c r="L524" s="3"/>
      <c r="M524" t="inlineStr">
        <is>
          <t>1</t>
        </is>
      </c>
      <c r="N524" t="inlineStr">
        <is>
          <t>Android, Tech</t>
        </is>
      </c>
      <c r="O524"/>
    </row>
    <row r="525" ht="12.75" customHeight="1">
      <c r="A525" t="inlineStr">
        <is>
          <t>Mobile Banking ต้องใช้ ios 14 ขึ้นไป</t>
        </is>
      </c>
      <c r="B525" t="inlineStr">
        <is>
          <t>Krongkwun  Rithiwong</t>
        </is>
      </c>
      <c r="C525" s="2">
        <v>46009</v>
      </c>
      <c r="D525" s="2">
        <v>46009</v>
      </c>
      <c r="E525" t="inlineStr">
        <is>
          <t>ปกติ</t>
        </is>
      </c>
      <c r="F525" s="3"/>
      <c r="G525"/>
      <c r="H525" t="inlineStr">
        <is>
          <t>Shorts</t>
        </is>
      </c>
      <c r="I525" t="inlineStr">
        <is>
          <t>งานประจำวัน</t>
        </is>
      </c>
      <c r="J525" t="inlineStr">
        <is>
          <t>Done</t>
        </is>
      </c>
      <c r="K525"/>
      <c r="L525" s="3"/>
      <c r="M525" t="inlineStr">
        <is>
          <t>1</t>
        </is>
      </c>
      <c r="N525" t="inlineStr">
        <is>
          <t>Apple</t>
        </is>
      </c>
      <c r="O525"/>
    </row>
    <row r="526" ht="12.75" customHeight="1">
      <c r="A526" t="inlineStr">
        <is>
          <t>ช่วงเวลาเปิดตัว Xiaomi 17 Ultra ได้รับการยืนยันอย่างเป็นทางการแล้ว</t>
        </is>
      </c>
      <c r="B526" t="inlineStr">
        <is>
          <t>Saktaphat Kordjan</t>
        </is>
      </c>
      <c r="C526" s="2">
        <v>46009</v>
      </c>
      <c r="D526" s="2">
        <v>46009</v>
      </c>
      <c r="E526"/>
      <c r="F526" s="3"/>
      <c r="G526"/>
      <c r="H526" t="inlineStr">
        <is>
          <t>Website</t>
        </is>
      </c>
      <c r="I526" t="inlineStr">
        <is>
          <t>งานประจำวัน</t>
        </is>
      </c>
      <c r="J526" t="inlineStr">
        <is>
          <t>Done</t>
        </is>
      </c>
      <c r="K526"/>
      <c r="L526" s="3"/>
      <c r="M526" t="inlineStr">
        <is>
          <t>1</t>
        </is>
      </c>
      <c r="N526" t="inlineStr">
        <is>
          <t>Android</t>
        </is>
      </c>
      <c r="O526"/>
    </row>
    <row r="527" ht="12.75" customHeight="1">
      <c r="A527" t="inlineStr">
        <is>
          <t>
นักพัฒนาแอปขอให้ EU จัดการ ค่าธรรมเนียม App Store</t>
        </is>
      </c>
      <c r="B527" t="inlineStr">
        <is>
          <t>Saktaphat Kordjan</t>
        </is>
      </c>
      <c r="C527" s="2">
        <v>46009</v>
      </c>
      <c r="D527" s="2">
        <v>46009</v>
      </c>
      <c r="E527"/>
      <c r="F527" s="3"/>
      <c r="G527"/>
      <c r="H527" t="inlineStr">
        <is>
          <t>Website</t>
        </is>
      </c>
      <c r="I527" t="inlineStr">
        <is>
          <t>งานประจำวัน</t>
        </is>
      </c>
      <c r="J527" t="inlineStr">
        <is>
          <t>Done</t>
        </is>
      </c>
      <c r="K527"/>
      <c r="L527" s="3"/>
      <c r="M527" t="inlineStr">
        <is>
          <t>1</t>
        </is>
      </c>
      <c r="N527" t="inlineStr">
        <is>
          <t>Apple</t>
        </is>
      </c>
      <c r="O527"/>
    </row>
    <row r="528" ht="12.75" customHeight="1">
      <c r="A528" t="inlineStr">
        <is>
          <t>Podcast: EMOJI</t>
        </is>
      </c>
      <c r="B528" t="inlineStr">
        <is>
          <t>Saktaphat Kordjan</t>
        </is>
      </c>
      <c r="C528" s="2">
        <v>46009</v>
      </c>
      <c r="D528" s="2">
        <v>46009</v>
      </c>
      <c r="E528"/>
      <c r="F528" s="3"/>
      <c r="G528"/>
      <c r="H528" t="inlineStr">
        <is>
          <t>YouTube</t>
        </is>
      </c>
      <c r="I528" t="inlineStr">
        <is>
          <t>เสนอไอเดีย</t>
        </is>
      </c>
      <c r="J528" t="inlineStr">
        <is>
          <t>Done</t>
        </is>
      </c>
      <c r="K528"/>
      <c r="L528" s="3"/>
      <c r="M528" t="inlineStr">
        <is>
          <t>1</t>
        </is>
      </c>
      <c r="N528" t="inlineStr">
        <is>
          <t>ทั่วไป</t>
        </is>
      </c>
      <c r="O528"/>
    </row>
    <row r="529" ht="12.75" customHeight="1">
      <c r="A529" t="inlineStr">
        <is>
          <t>ลือ Iphone 18 Pro กล้องหน้ามุมบนซ้าย Face ID ใต้จอ</t>
        </is>
      </c>
      <c r="B529" t="inlineStr">
        <is>
          <t>Krongkwun  Rithiwong</t>
        </is>
      </c>
      <c r="C529" s="2">
        <v>46009</v>
      </c>
      <c r="D529" s="2">
        <v>46009</v>
      </c>
      <c r="E529" t="inlineStr">
        <is>
          <t>ปกติ</t>
        </is>
      </c>
      <c r="F529" s="3"/>
      <c r="G529"/>
      <c r="H529" t="inlineStr">
        <is>
          <t>Shorts</t>
        </is>
      </c>
      <c r="I529" t="inlineStr">
        <is>
          <t>งานประจำวัน</t>
        </is>
      </c>
      <c r="J529" t="inlineStr">
        <is>
          <t>Done</t>
        </is>
      </c>
      <c r="K529"/>
      <c r="L529" s="3"/>
      <c r="M529" t="inlineStr">
        <is>
          <t>1</t>
        </is>
      </c>
      <c r="N529" t="inlineStr">
        <is>
          <t>Apple</t>
        </is>
      </c>
      <c r="O529"/>
    </row>
    <row r="530" ht="12.75" customHeight="1">
      <c r="A530" t="inlineStr">
        <is>
          <t xml:space="preserve">Google Translate ยกระดับด้วย Gemini </t>
        </is>
      </c>
      <c r="B530" t="inlineStr">
        <is>
          <t>Krongkwun  Rithiwong</t>
        </is>
      </c>
      <c r="C530" s="2">
        <v>46009</v>
      </c>
      <c r="D530" s="2">
        <v>46009</v>
      </c>
      <c r="E530" t="inlineStr">
        <is>
          <t>ปกติ</t>
        </is>
      </c>
      <c r="F530" s="3"/>
      <c r="G530"/>
      <c r="H530" t="inlineStr">
        <is>
          <t>Shorts</t>
        </is>
      </c>
      <c r="I530" t="inlineStr">
        <is>
          <t>งานประจำวัน</t>
        </is>
      </c>
      <c r="J530" t="inlineStr">
        <is>
          <t>Done</t>
        </is>
      </c>
      <c r="K530"/>
      <c r="L530" s="3"/>
      <c r="M530" t="inlineStr">
        <is>
          <t>1</t>
        </is>
      </c>
      <c r="N530" t="inlineStr">
        <is>
          <t>Tech, AI</t>
        </is>
      </c>
      <c r="O530"/>
    </row>
    <row r="531" ht="12.75" customHeight="1">
      <c r="A531" t="inlineStr">
        <is>
          <t>ดีลที่ดีสุดแห่งปี 2025 กับ BYD และ Denza ก่อนสิ้นสุดมาตรการ EV 3.0</t>
        </is>
      </c>
      <c r="B531" t="inlineStr">
        <is>
          <t>Sasithakan Sritonthip</t>
        </is>
      </c>
      <c r="C531" s="2">
        <v>46009</v>
      </c>
      <c r="D531" s="2">
        <v>46010</v>
      </c>
      <c r="E531" t="inlineStr">
        <is>
          <t>ด่วน!</t>
        </is>
      </c>
      <c r="F531" s="3"/>
      <c r="G531"/>
      <c r="H531" t="inlineStr">
        <is>
          <t>Shorts</t>
        </is>
      </c>
      <c r="I531" t="inlineStr">
        <is>
          <t>งานลูกค้า</t>
        </is>
      </c>
      <c r="J531" t="inlineStr">
        <is>
          <t>Done</t>
        </is>
      </c>
      <c r="K531" t="inlineStr">
        <is>
          <t>ลูกค้า BYD และ Denza</t>
        </is>
      </c>
      <c r="L531" s="3" t="str">
        <f>=HYPERLINK("https://www.facebook.com/share/r/17eZ2zJj19/", "https://www.facebook.com/share/r/17eZ2zJj19/")</f>
        <v>https://www.facebook.com/share/r/17eZ2zJj19/</v>
      </c>
      <c r="M531" t="inlineStr">
        <is>
          <t>1</t>
        </is>
      </c>
      <c r="N531" t="inlineStr">
        <is>
          <t>ลูกค้า</t>
        </is>
      </c>
      <c r="O531"/>
    </row>
    <row r="532" ht="12.75" customHeight="1">
      <c r="A532" t="inlineStr">
        <is>
          <t xml:space="preserve">iPad mini อาจใช้ชิป A20 Pro </t>
        </is>
      </c>
      <c r="B532" t="inlineStr">
        <is>
          <t>Nattida Suriyodara</t>
        </is>
      </c>
      <c r="C532" s="2">
        <v>46008</v>
      </c>
      <c r="D532" s="2">
        <v>46008</v>
      </c>
      <c r="E532"/>
      <c r="F532" s="3"/>
      <c r="G532"/>
      <c r="H532" t="inlineStr">
        <is>
          <t>Website</t>
        </is>
      </c>
      <c r="I532" t="inlineStr">
        <is>
          <t>งานประจำวัน</t>
        </is>
      </c>
      <c r="J532" t="inlineStr">
        <is>
          <t>Done</t>
        </is>
      </c>
      <c r="K532"/>
      <c r="L532" s="3"/>
      <c r="M532" t="inlineStr">
        <is>
          <t>1</t>
        </is>
      </c>
      <c r="N532" t="inlineStr">
        <is>
          <t>Apple</t>
        </is>
      </c>
      <c r="O532"/>
    </row>
    <row r="533" ht="12.75" customHeight="1">
      <c r="A533" t="inlineStr">
        <is>
          <t xml:space="preserve">AirDrop Code </t>
        </is>
      </c>
      <c r="B533" t="inlineStr">
        <is>
          <t>Nattida Suriyodara</t>
        </is>
      </c>
      <c r="C533" s="2">
        <v>46008</v>
      </c>
      <c r="D533" s="2">
        <v>46008</v>
      </c>
      <c r="E533"/>
      <c r="F533" s="3"/>
      <c r="G533"/>
      <c r="H533" t="inlineStr">
        <is>
          <t>YouTube, Website</t>
        </is>
      </c>
      <c r="I533" t="inlineStr">
        <is>
          <t>งานประจำวัน</t>
        </is>
      </c>
      <c r="J533" t="inlineStr">
        <is>
          <t>Done</t>
        </is>
      </c>
      <c r="K533"/>
      <c r="L533" s="3"/>
      <c r="M533" t="inlineStr">
        <is>
          <t>1</t>
        </is>
      </c>
      <c r="N533" t="inlineStr">
        <is>
          <t>Apple</t>
        </is>
      </c>
      <c r="O533"/>
    </row>
    <row r="534" ht="12.75" customHeight="1">
      <c r="A534" t="inlineStr">
        <is>
          <t>ลือ! iPhone 18 จะปรับปรุงปุ่ม Camera Control</t>
        </is>
      </c>
      <c r="B534" t="inlineStr">
        <is>
          <t>Sasithakan Sritonthip</t>
        </is>
      </c>
      <c r="C534" s="2">
        <v>46008</v>
      </c>
      <c r="D534" s="2">
        <v>46008</v>
      </c>
      <c r="E534" t="inlineStr">
        <is>
          <t>ปกติ</t>
        </is>
      </c>
      <c r="F534" s="3" t="str">
        <f>=HYPERLINK("https://www.macrumors.com/2025/12/16/iphone-18-to-fix-an-annoyance/", "https://www.macrumors.com/2025/12/16/iphone-18-to-fix-an-annoyance/")</f>
        <v>https://www.macrumors.com/2025/12/16/iphone-18-to-fix-an-annoyance/</v>
      </c>
      <c r="G534"/>
      <c r="H534" t="inlineStr">
        <is>
          <t>Website</t>
        </is>
      </c>
      <c r="I534" t="inlineStr">
        <is>
          <t>งานประจำวัน</t>
        </is>
      </c>
      <c r="J534" t="inlineStr">
        <is>
          <t>Done</t>
        </is>
      </c>
      <c r="K534"/>
      <c r="L534" s="3"/>
      <c r="M534" t="inlineStr">
        <is>
          <t>1</t>
        </is>
      </c>
      <c r="N534" t="inlineStr">
        <is>
          <t>Apple</t>
        </is>
      </c>
      <c r="O534"/>
    </row>
    <row r="535" ht="12.75" customHeight="1">
      <c r="A535" t="inlineStr">
        <is>
          <t xml:space="preserve">Google ปรับปรุงหน้าหลักของ AI Mode </t>
        </is>
      </c>
      <c r="B535" t="inlineStr">
        <is>
          <t>Sasithakan Sritonthip</t>
        </is>
      </c>
      <c r="C535" s="2">
        <v>46008</v>
      </c>
      <c r="D535" s="2">
        <v>46008</v>
      </c>
      <c r="E535" t="inlineStr">
        <is>
          <t>ปกติ</t>
        </is>
      </c>
      <c r="F535" s="3" t="str">
        <f>=HYPERLINK("https://9to5google.com/2025/12/16/google-ai-mode-greeting/", "https://9to5google.com/2025/12/16/google-ai-mode-greeting/")</f>
        <v>https://9to5google.com/2025/12/16/google-ai-mode-greeting/</v>
      </c>
      <c r="G535"/>
      <c r="H535" t="inlineStr">
        <is>
          <t>Website</t>
        </is>
      </c>
      <c r="I535" t="inlineStr">
        <is>
          <t>งานประจำวัน</t>
        </is>
      </c>
      <c r="J535" t="inlineStr">
        <is>
          <t>Done</t>
        </is>
      </c>
      <c r="K535"/>
      <c r="L535" s="3"/>
      <c r="M535" t="inlineStr">
        <is>
          <t>1</t>
        </is>
      </c>
      <c r="N535" t="inlineStr">
        <is>
          <t>Android, AI</t>
        </is>
      </c>
      <c r="O535"/>
    </row>
    <row r="536" ht="12.75" customHeight="1">
      <c r="A536" t="inlineStr">
        <is>
          <t>Apple อนุญาตให้เปลี่ยนแบตเตอรี่ใน MacBook Pro 14 นิ้ว M5 ได้แล้ว</t>
        </is>
      </c>
      <c r="B536" t="inlineStr">
        <is>
          <t>Sasithakan Sritonthip</t>
        </is>
      </c>
      <c r="C536" s="2">
        <v>46008</v>
      </c>
      <c r="D536" s="2">
        <v>46008</v>
      </c>
      <c r="E536" t="inlineStr">
        <is>
          <t>ปกติ</t>
        </is>
      </c>
      <c r="F536" s="3" t="str">
        <f>=HYPERLINK("https://9to5mac.com/2025/12/16/14-inch-m5-macbook-pro-battery-replacement-guide/", "https://9to5mac.com/2025/12/16/14-inch-m5-macbook-pro-battery-replacement-guide/")</f>
        <v>https://9to5mac.com/2025/12/16/14-inch-m5-macbook-pro-battery-replacement-guide/</v>
      </c>
      <c r="G536"/>
      <c r="H536" t="inlineStr">
        <is>
          <t>Website</t>
        </is>
      </c>
      <c r="I536" t="inlineStr">
        <is>
          <t>งานประจำวัน</t>
        </is>
      </c>
      <c r="J536" t="inlineStr">
        <is>
          <t>Done</t>
        </is>
      </c>
      <c r="K536"/>
      <c r="L536" s="3"/>
      <c r="M536" t="inlineStr">
        <is>
          <t>1</t>
        </is>
      </c>
      <c r="N536" t="inlineStr">
        <is>
          <t>Apple</t>
        </is>
      </c>
      <c r="O536"/>
    </row>
    <row r="537" ht="12.75" customHeight="1">
      <c r="A537" t="inlineStr">
        <is>
          <t xml:space="preserve">ChatGPT Image </t>
        </is>
      </c>
      <c r="B537" t="inlineStr">
        <is>
          <t>Nattida Suriyodara</t>
        </is>
      </c>
      <c r="C537" s="2">
        <v>46008</v>
      </c>
      <c r="D537" s="2">
        <v>46008</v>
      </c>
      <c r="E537"/>
      <c r="F537" s="3"/>
      <c r="G537"/>
      <c r="H537" t="inlineStr">
        <is>
          <t>Website, Pic Posts / Album</t>
        </is>
      </c>
      <c r="I537" t="inlineStr">
        <is>
          <t>งานประจำวัน</t>
        </is>
      </c>
      <c r="J537" t="inlineStr">
        <is>
          <t>Done</t>
        </is>
      </c>
      <c r="K537"/>
      <c r="L537" s="3"/>
      <c r="M537" t="inlineStr">
        <is>
          <t>1</t>
        </is>
      </c>
      <c r="N537" t="inlineStr">
        <is>
          <t>AI</t>
        </is>
      </c>
      <c r="O537"/>
    </row>
    <row r="538" ht="12.75" customHeight="1">
      <c r="A538" t="inlineStr">
        <is>
          <t>หลุดข้อมูลกล้องและสี  ของ Honor Power 2 ก่อนเปิดตัว</t>
        </is>
      </c>
      <c r="B538" t="inlineStr">
        <is>
          <t>Saktaphat Kordjan</t>
        </is>
      </c>
      <c r="C538" s="2">
        <v>46008</v>
      </c>
      <c r="D538" s="2">
        <v>46008</v>
      </c>
      <c r="E538"/>
      <c r="F538" s="3"/>
      <c r="G538"/>
      <c r="H538" t="inlineStr">
        <is>
          <t>Website</t>
        </is>
      </c>
      <c r="I538" t="inlineStr">
        <is>
          <t>งานประจำวัน</t>
        </is>
      </c>
      <c r="J538" t="inlineStr">
        <is>
          <t>Done</t>
        </is>
      </c>
      <c r="K538"/>
      <c r="L538" s="3"/>
      <c r="M538" t="inlineStr">
        <is>
          <t>1</t>
        </is>
      </c>
      <c r="N538" t="inlineStr">
        <is>
          <t>Android</t>
        </is>
      </c>
      <c r="O538"/>
    </row>
    <row r="539" ht="12.75" customHeight="1">
      <c r="A539" t="inlineStr">
        <is>
          <t xml:space="preserve">ตลาดสมาร์ตโฟนจะหดตัวในปี 2026 ส่วนราคาอาจพุ่งสูงขึ้น </t>
        </is>
      </c>
      <c r="B539" t="inlineStr">
        <is>
          <t>Saktaphat Kordjan</t>
        </is>
      </c>
      <c r="C539" s="2">
        <v>46008</v>
      </c>
      <c r="D539" s="2">
        <v>46008</v>
      </c>
      <c r="E539"/>
      <c r="F539" s="3"/>
      <c r="G539"/>
      <c r="H539" t="inlineStr">
        <is>
          <t>Website</t>
        </is>
      </c>
      <c r="I539" t="inlineStr">
        <is>
          <t>งานประจำวัน</t>
        </is>
      </c>
      <c r="J539" t="inlineStr">
        <is>
          <t>Done</t>
        </is>
      </c>
      <c r="K539"/>
      <c r="L539" s="3"/>
      <c r="M539" t="inlineStr">
        <is>
          <t>1</t>
        </is>
      </c>
      <c r="N539" t="inlineStr">
        <is>
          <t>Android</t>
        </is>
      </c>
      <c r="O539"/>
    </row>
    <row r="540" ht="12.75" customHeight="1">
      <c r="A540" t="inlineStr">
        <is>
          <t xml:space="preserve">Redmi Note 15 </t>
        </is>
      </c>
      <c r="B540" t="inlineStr">
        <is>
          <t>Saktaphat Kordjan</t>
        </is>
      </c>
      <c r="C540" s="2">
        <v>46008</v>
      </c>
      <c r="D540" s="2">
        <v>46008</v>
      </c>
      <c r="E540"/>
      <c r="F540" s="3"/>
      <c r="G540"/>
      <c r="H540" t="inlineStr">
        <is>
          <t>Pic Posts / Album</t>
        </is>
      </c>
      <c r="I540" t="inlineStr">
        <is>
          <t>งานลูกค้า</t>
        </is>
      </c>
      <c r="J540" t="inlineStr">
        <is>
          <t>Done</t>
        </is>
      </c>
      <c r="K540"/>
      <c r="L540" s="3"/>
      <c r="M540" t="inlineStr">
        <is>
          <t>1</t>
        </is>
      </c>
      <c r="N540" t="inlineStr">
        <is>
          <t>Android</t>
        </is>
      </c>
      <c r="O540" t="inlineStr">
        <is>
          <t>Xiaomi</t>
        </is>
      </c>
    </row>
    <row r="541" ht="12.75" customHeight="1">
      <c r="A541" t="inlineStr">
        <is>
          <t>NotebookLM เปิดให้ใช้ฟีเจอร์ ประวัติการสนทนา และเพิ่มขีดจำกัดการใช้งานให้แพ็กเกจ AI Ultra</t>
        </is>
      </c>
      <c r="B541" t="inlineStr">
        <is>
          <t>Sasithakan Sritonthip</t>
        </is>
      </c>
      <c r="C541" s="2">
        <v>46008</v>
      </c>
      <c r="D541" s="2">
        <v>46008</v>
      </c>
      <c r="E541" t="inlineStr">
        <is>
          <t>ปกติ</t>
        </is>
      </c>
      <c r="F541" s="3" t="str">
        <f>=HYPERLINK("https://9to5google.com/2025/12/16/notebooklm-chat-history/", "https://9to5google.com/2025/12/16/notebooklm-chat-history/")</f>
        <v>https://9to5google.com/2025/12/16/notebooklm-chat-history/</v>
      </c>
      <c r="G541"/>
      <c r="H541" t="inlineStr">
        <is>
          <t>Website</t>
        </is>
      </c>
      <c r="I541" t="inlineStr">
        <is>
          <t>งานประจำวัน</t>
        </is>
      </c>
      <c r="J541" t="inlineStr">
        <is>
          <t>Done</t>
        </is>
      </c>
      <c r="K541"/>
      <c r="L541" s="3"/>
      <c r="M541" t="inlineStr">
        <is>
          <t>1</t>
        </is>
      </c>
      <c r="N541" t="inlineStr">
        <is>
          <t>Android, AI</t>
        </is>
      </c>
      <c r="O541"/>
    </row>
    <row r="542" ht="12.75" customHeight="1">
      <c r="A542" t="inlineStr">
        <is>
          <t>วิธีเปลี่ยนหน้าปัด Apple Watch</t>
        </is>
      </c>
      <c r="B542" t="inlineStr">
        <is>
          <t>Nattida Suriyodara</t>
        </is>
      </c>
      <c r="C542" s="2">
        <v>46007</v>
      </c>
      <c r="D542" s="2">
        <v>46007</v>
      </c>
      <c r="E542"/>
      <c r="F542" s="3"/>
      <c r="G542"/>
      <c r="H542" t="inlineStr">
        <is>
          <t>Shorts</t>
        </is>
      </c>
      <c r="I542" t="inlineStr">
        <is>
          <t>งานประจำวัน</t>
        </is>
      </c>
      <c r="J542" t="inlineStr">
        <is>
          <t>Done</t>
        </is>
      </c>
      <c r="K542"/>
      <c r="L542" s="3"/>
      <c r="M542" t="inlineStr">
        <is>
          <t>1</t>
        </is>
      </c>
      <c r="N542" t="inlineStr">
        <is>
          <t>Apple</t>
        </is>
      </c>
      <c r="O542"/>
    </row>
    <row r="543" ht="12.75" customHeight="1">
      <c r="A543" t="inlineStr">
        <is>
          <t>สอนใช้ GOOD LOCK-2</t>
        </is>
      </c>
      <c r="B543" t="inlineStr">
        <is>
          <t>Saktaphat Kordjan</t>
        </is>
      </c>
      <c r="C543" s="2">
        <v>46007</v>
      </c>
      <c r="D543" s="2">
        <v>46007</v>
      </c>
      <c r="E543"/>
      <c r="F543" s="3"/>
      <c r="G543"/>
      <c r="H543" t="inlineStr">
        <is>
          <t>Shorts</t>
        </is>
      </c>
      <c r="I543" t="inlineStr">
        <is>
          <t>เสนอไอเดีย</t>
        </is>
      </c>
      <c r="J543" t="inlineStr">
        <is>
          <t>Done</t>
        </is>
      </c>
      <c r="K543"/>
      <c r="L543" s="3"/>
      <c r="M543" t="inlineStr">
        <is>
          <t>1</t>
        </is>
      </c>
      <c r="N543" t="inlineStr">
        <is>
          <t>Android</t>
        </is>
      </c>
      <c r="O543"/>
    </row>
    <row r="544" ht="12.75" customHeight="1">
      <c r="A544" t="inlineStr">
        <is>
          <t>Xiaomi เตรียมเปิดตัวสมาร์ตโฟนบางเฉียบ แบตเตอรี่ 10,000 mAh</t>
        </is>
      </c>
      <c r="B544" t="inlineStr">
        <is>
          <t>Saktaphat Kordjan</t>
        </is>
      </c>
      <c r="C544" s="2">
        <v>46007</v>
      </c>
      <c r="D544" s="2">
        <v>46007</v>
      </c>
      <c r="E544"/>
      <c r="F544" s="3"/>
      <c r="G544"/>
      <c r="H544" t="inlineStr">
        <is>
          <t>Website</t>
        </is>
      </c>
      <c r="I544" t="inlineStr">
        <is>
          <t>งานประจำวัน</t>
        </is>
      </c>
      <c r="J544" t="inlineStr">
        <is>
          <t>Done</t>
        </is>
      </c>
      <c r="K544"/>
      <c r="L544" s="3"/>
      <c r="M544" t="inlineStr">
        <is>
          <t>1</t>
        </is>
      </c>
      <c r="N544" t="inlineStr">
        <is>
          <t>Android</t>
        </is>
      </c>
      <c r="O544"/>
    </row>
    <row r="545" ht="12.75" customHeight="1">
      <c r="A545" t="inlineStr">
        <is>
          <t>Huawei MatePad 12X 2026</t>
        </is>
      </c>
      <c r="B545" t="inlineStr">
        <is>
          <t>Saktaphat Kordjan</t>
        </is>
      </c>
      <c r="C545" s="2">
        <v>46007</v>
      </c>
      <c r="D545" s="2">
        <v>46007</v>
      </c>
      <c r="E545"/>
      <c r="F545" s="3"/>
      <c r="G545"/>
      <c r="H545" t="inlineStr">
        <is>
          <t>Shorts</t>
        </is>
      </c>
      <c r="I545" t="inlineStr">
        <is>
          <t>งานลูกค้า</t>
        </is>
      </c>
      <c r="J545" t="inlineStr">
        <is>
          <t>Done</t>
        </is>
      </c>
      <c r="K545"/>
      <c r="L545" s="3"/>
      <c r="M545" t="inlineStr">
        <is>
          <t>1</t>
        </is>
      </c>
      <c r="N545" t="inlineStr">
        <is>
          <t>Android</t>
        </is>
      </c>
      <c r="O545" t="inlineStr">
        <is>
          <t>Huawei</t>
        </is>
      </c>
    </row>
    <row r="546" ht="12.75" customHeight="1">
      <c r="A546" t="inlineStr">
        <is>
          <t>OnePlus ยืนยันเปิดตัวซีรีส์ใหม่ในชื่อ Turbo เน้นสายเล่นเกม</t>
        </is>
      </c>
      <c r="B546" t="inlineStr">
        <is>
          <t>Saktaphat Kordjan</t>
        </is>
      </c>
      <c r="C546" s="2">
        <v>46007</v>
      </c>
      <c r="D546" s="2">
        <v>46007</v>
      </c>
      <c r="E546"/>
      <c r="F546" s="3"/>
      <c r="G546"/>
      <c r="H546" t="inlineStr">
        <is>
          <t>Website</t>
        </is>
      </c>
      <c r="I546" t="inlineStr">
        <is>
          <t>งานประจำวัน</t>
        </is>
      </c>
      <c r="J546" t="inlineStr">
        <is>
          <t>Done</t>
        </is>
      </c>
      <c r="K546"/>
      <c r="L546" s="3"/>
      <c r="M546" t="inlineStr">
        <is>
          <t>1</t>
        </is>
      </c>
      <c r="N546" t="inlineStr">
        <is>
          <t>Android</t>
        </is>
      </c>
      <c r="O546"/>
    </row>
    <row r="547" ht="12.75" customHeight="1">
      <c r="A547" t="inlineStr">
        <is>
          <t xml:space="preserve">Dark Web-Google </t>
        </is>
      </c>
      <c r="B547" t="inlineStr">
        <is>
          <t>Nattida Suriyodara</t>
        </is>
      </c>
      <c r="C547" s="2">
        <v>46007</v>
      </c>
      <c r="D547" s="2">
        <v>46007</v>
      </c>
      <c r="E547"/>
      <c r="F547" s="3"/>
      <c r="G547"/>
      <c r="H547" t="inlineStr">
        <is>
          <t>Website</t>
        </is>
      </c>
      <c r="I547" t="inlineStr">
        <is>
          <t>งานประจำวัน</t>
        </is>
      </c>
      <c r="J547" t="inlineStr">
        <is>
          <t>Done</t>
        </is>
      </c>
      <c r="K547"/>
      <c r="L547" s="3"/>
      <c r="M547" t="inlineStr">
        <is>
          <t>1</t>
        </is>
      </c>
      <c r="N547" t="inlineStr">
        <is>
          <t>Tech</t>
        </is>
      </c>
      <c r="O547"/>
    </row>
    <row r="548" ht="12.75" customHeight="1">
      <c r="A548" t="inlineStr">
        <is>
          <t>Google Search เพิ่มปุ่มเมนู "+" ไว้ที่ด้านซ้ายแถบค้นหา</t>
        </is>
      </c>
      <c r="B548" t="inlineStr">
        <is>
          <t>Sasithakan Sritonthip</t>
        </is>
      </c>
      <c r="C548" s="2">
        <v>46007</v>
      </c>
      <c r="D548" s="2">
        <v>46007</v>
      </c>
      <c r="E548" t="inlineStr">
        <is>
          <t>ปกติ</t>
        </is>
      </c>
      <c r="F548" s="3" t="str">
        <f>=HYPERLINK("https://9to5google.com/2025/12/15/google-search-plus-menu/", "https://9to5google.com/2025/12/15/google-search-plus-menu/")</f>
        <v>https://9to5google.com/2025/12/15/google-search-plus-menu/</v>
      </c>
      <c r="G548"/>
      <c r="H548" t="inlineStr">
        <is>
          <t>Website</t>
        </is>
      </c>
      <c r="I548" t="inlineStr">
        <is>
          <t>งานประจำวัน</t>
        </is>
      </c>
      <c r="J548" t="inlineStr">
        <is>
          <t>Done</t>
        </is>
      </c>
      <c r="K548"/>
      <c r="L548" s="3" t="str">
        <f>=HYPERLINK("https://www.iphonemod.net/the-google-search-homepage-adds-a-plus-menu.html", "https://www.iphonemod.net/the-google-search-homepage-adds-a-plus-menu.html")</f>
        <v>https://www.iphonemod.net/the-google-search-homepage-adds-a-plus-menu.html</v>
      </c>
      <c r="M548" t="inlineStr">
        <is>
          <t>1</t>
        </is>
      </c>
      <c r="N548" t="inlineStr">
        <is>
          <t>Tech</t>
        </is>
      </c>
      <c r="O548"/>
    </row>
    <row r="549" ht="12.75" customHeight="1">
      <c r="A549" t="inlineStr">
        <is>
          <t>Apple Fitness+ พร้อมให้บริการเพิ่ม 28 ประเทศใหม่วันนี้!</t>
        </is>
      </c>
      <c r="B549" t="inlineStr">
        <is>
          <t>Sasithakan Sritonthip</t>
        </is>
      </c>
      <c r="C549" s="2">
        <v>46007</v>
      </c>
      <c r="D549" s="2">
        <v>46007</v>
      </c>
      <c r="E549" t="inlineStr">
        <is>
          <t>ปกติ</t>
        </is>
      </c>
      <c r="F549" s="3" t="str">
        <f>=HYPERLINK("https://www.macrumors.com/2025/12/15/apple-fitness-comes-to-28-new-countries-today/", "https://www.macrumors.com/2025/12/15/apple-fitness-comes-to-28-new-countries-today/")</f>
        <v>https://www.macrumors.com/2025/12/15/apple-fitness-comes-to-28-new-countries-today/</v>
      </c>
      <c r="G549"/>
      <c r="H549" t="inlineStr">
        <is>
          <t>Website</t>
        </is>
      </c>
      <c r="I549" t="inlineStr">
        <is>
          <t>งานประจำวัน</t>
        </is>
      </c>
      <c r="J549" t="inlineStr">
        <is>
          <t>Done</t>
        </is>
      </c>
      <c r="K549"/>
      <c r="L549" s="3" t="str">
        <f>=HYPERLINK("https://www.iphonemod.net/apple-fitness-comes-to-28-new-countries-today.html", "https://www.iphonemod.net/apple-fitness-comes-to-28-new-countries-today.html")</f>
        <v>https://www.iphonemod.net/apple-fitness-comes-to-28-new-countries-today.html</v>
      </c>
      <c r="M549" t="inlineStr">
        <is>
          <t>1</t>
        </is>
      </c>
      <c r="N549" t="inlineStr">
        <is>
          <t>Apple</t>
        </is>
      </c>
      <c r="O549"/>
    </row>
    <row r="550" ht="12.75" customHeight="1">
      <c r="A550" t="inlineStr">
        <is>
          <t>Gemini Live เพิ่มปุ่ม "เปิด-ปิดไมโครโฟน" ระหว่างใช้งานสนทนา</t>
        </is>
      </c>
      <c r="B550" t="inlineStr">
        <is>
          <t>Sasithakan Sritonthip</t>
        </is>
      </c>
      <c r="C550" s="2">
        <v>46007</v>
      </c>
      <c r="D550" s="2">
        <v>46007</v>
      </c>
      <c r="E550" t="inlineStr">
        <is>
          <t>ปกติ</t>
        </is>
      </c>
      <c r="F550" s="3" t="str">
        <f>=HYPERLINK("https://9to5google.com/2025/12/12/gemini-live-mute/", "https://9to5google.com/2025/12/12/gemini-live-mute/")</f>
        <v>https://9to5google.com/2025/12/12/gemini-live-mute/</v>
      </c>
      <c r="G550"/>
      <c r="H550" t="inlineStr">
        <is>
          <t>Website</t>
        </is>
      </c>
      <c r="I550" t="inlineStr">
        <is>
          <t>งานประจำวัน</t>
        </is>
      </c>
      <c r="J550" t="inlineStr">
        <is>
          <t>Done</t>
        </is>
      </c>
      <c r="K550"/>
      <c r="L550" s="3" t="str">
        <f>=HYPERLINK("https://www.iphonemod.net/gemini-live-rolling-out-microphone-mute-button.html", "https://www.iphonemod.net/gemini-live-rolling-out-microphone-mute-button.html")</f>
        <v>https://www.iphonemod.net/gemini-live-rolling-out-microphone-mute-button.html</v>
      </c>
      <c r="M550" t="inlineStr">
        <is>
          <t>1</t>
        </is>
      </c>
      <c r="N550" t="inlineStr">
        <is>
          <t>Android, AI</t>
        </is>
      </c>
      <c r="O550"/>
    </row>
    <row r="551" ht="12.75" customHeight="1">
      <c r="A551" t="inlineStr">
        <is>
          <t>แอป X เวอร์ชัน iOS รองรับวิดเจ็ตบนหน้าจอล็อกและหน้าจอโฮมแล้ว</t>
        </is>
      </c>
      <c r="B551" t="inlineStr">
        <is>
          <t>Sasithakan Sritonthip</t>
        </is>
      </c>
      <c r="C551" s="2">
        <v>46007</v>
      </c>
      <c r="D551" s="2">
        <v>46008</v>
      </c>
      <c r="E551"/>
      <c r="F551" s="3" t="str">
        <f>=HYPERLINK("https://www.macrumors.com/2025/12/15/x-twitter-app-for-ios-gains-widgets/", "https://www.macrumors.com/2025/12/15/x-twitter-app-for-ios-gains-widgets/")</f>
        <v>https://www.macrumors.com/2025/12/15/x-twitter-app-for-ios-gains-widgets/</v>
      </c>
      <c r="G551"/>
      <c r="H551" t="inlineStr">
        <is>
          <t>Website</t>
        </is>
      </c>
      <c r="I551" t="inlineStr">
        <is>
          <t>งานประจำวัน</t>
        </is>
      </c>
      <c r="J551" t="inlineStr">
        <is>
          <t>Done</t>
        </is>
      </c>
      <c r="K551"/>
      <c r="L551" s="3"/>
      <c r="M551" t="inlineStr">
        <is>
          <t>1</t>
        </is>
      </c>
      <c r="N551" t="inlineStr">
        <is>
          <t>Apple</t>
        </is>
      </c>
      <c r="O551"/>
    </row>
    <row r="552" ht="12.75" customHeight="1">
      <c r="A552" t="inlineStr">
        <is>
          <t>หลุดชื่อผลิตภัณฑ์ที่ Apple กำลังพัฒนาเพียบ!</t>
        </is>
      </c>
      <c r="B552" t="inlineStr">
        <is>
          <t>Krongkwun  Rithiwong</t>
        </is>
      </c>
      <c r="C552" s="2">
        <v>46007</v>
      </c>
      <c r="D552" s="2">
        <v>46007</v>
      </c>
      <c r="E552" t="inlineStr">
        <is>
          <t xml:space="preserve">ด่วนมาก! </t>
        </is>
      </c>
      <c r="F552" s="3"/>
      <c r="G552"/>
      <c r="H552" t="inlineStr">
        <is>
          <t>Shorts</t>
        </is>
      </c>
      <c r="I552" t="inlineStr">
        <is>
          <t>งานประจำวัน</t>
        </is>
      </c>
      <c r="J552" t="inlineStr">
        <is>
          <t>Done</t>
        </is>
      </c>
      <c r="K552"/>
      <c r="L552" s="3"/>
      <c r="M552" t="inlineStr">
        <is>
          <t>1</t>
        </is>
      </c>
      <c r="N552" t="inlineStr">
        <is>
          <t>Apple</t>
        </is>
      </c>
      <c r="O552"/>
    </row>
    <row r="553" ht="12.75" customHeight="1">
      <c r="A553" t="inlineStr">
        <is>
          <t>iOS 26.3 Beta 1</t>
        </is>
      </c>
      <c r="B553" t="inlineStr">
        <is>
          <t>Thitirath Kinaret,Sasithakan Sritonthip</t>
        </is>
      </c>
      <c r="C553" s="2">
        <v>46007</v>
      </c>
      <c r="D553" s="2">
        <v>46007</v>
      </c>
      <c r="E553" t="inlineStr">
        <is>
          <t>ปกติ</t>
        </is>
      </c>
      <c r="F553" s="3"/>
      <c r="G553"/>
      <c r="H553" t="inlineStr">
        <is>
          <t>YouTube</t>
        </is>
      </c>
      <c r="I553" t="inlineStr">
        <is>
          <t>งานประจำวัน</t>
        </is>
      </c>
      <c r="J553" t="inlineStr">
        <is>
          <t>Done</t>
        </is>
      </c>
      <c r="K553"/>
      <c r="L553" s="3" t="str">
        <f>=HYPERLINK("https://youtu.be/puAQTm-YU_I?si=gf-8Ls3lNYMVvfc6", "https://youtu.be/puAQTm-YU_I?si=gf-8Ls3lNYMVvfc6")</f>
        <v>https://youtu.be/puAQTm-YU_I?si=gf-8Ls3lNYMVvfc6</v>
      </c>
      <c r="M553" t="inlineStr">
        <is>
          <t>1</t>
        </is>
      </c>
      <c r="N553" t="inlineStr">
        <is>
          <t>Apple</t>
        </is>
      </c>
      <c r="O553"/>
    </row>
    <row r="554" ht="12.75" customHeight="1">
      <c r="A554" t="inlineStr">
        <is>
          <t xml:space="preserve">สอนใช้ Slide Over และ Split View iPadOS 26.2 </t>
        </is>
      </c>
      <c r="B554" t="inlineStr">
        <is>
          <t>Nattida Suriyodara</t>
        </is>
      </c>
      <c r="C554" s="2">
        <v>46006</v>
      </c>
      <c r="D554" s="2">
        <v>46006</v>
      </c>
      <c r="E554"/>
      <c r="F554" s="3"/>
      <c r="G554"/>
      <c r="H554" t="inlineStr">
        <is>
          <t>YouTube</t>
        </is>
      </c>
      <c r="I554" t="inlineStr">
        <is>
          <t>งานประจำวัน</t>
        </is>
      </c>
      <c r="J554" t="inlineStr">
        <is>
          <t>Done</t>
        </is>
      </c>
      <c r="K554"/>
      <c r="L554" s="3"/>
      <c r="M554" t="inlineStr">
        <is>
          <t>1</t>
        </is>
      </c>
      <c r="N554" t="inlineStr">
        <is>
          <t>Apple</t>
        </is>
      </c>
      <c r="O554"/>
    </row>
    <row r="555" ht="12.75" customHeight="1">
      <c r="A555" t="inlineStr">
        <is>
          <t>คำสั่งมือใหมของ Pixel Watch 4 VS Wear OS ของ 10 ปีที่แล้ว</t>
        </is>
      </c>
      <c r="B555" t="inlineStr">
        <is>
          <t>Sasithakan Sritonthip</t>
        </is>
      </c>
      <c r="C555" s="2">
        <v>46006</v>
      </c>
      <c r="D555" s="2">
        <v>46006</v>
      </c>
      <c r="E555" t="inlineStr">
        <is>
          <t>ปกติ</t>
        </is>
      </c>
      <c r="F555" s="3" t="str">
        <f>=HYPERLINK("https://9to5google.com/2025/12/14/pixel-watch-4-gestures-comparison/", "https://9to5google.com/2025/12/14/pixel-watch-4-gestures-comparison/")</f>
        <v>https://9to5google.com/2025/12/14/pixel-watch-4-gestures-comparison/</v>
      </c>
      <c r="G555"/>
      <c r="H555" t="inlineStr">
        <is>
          <t>Website</t>
        </is>
      </c>
      <c r="I555" t="inlineStr">
        <is>
          <t>งานประจำวัน</t>
        </is>
      </c>
      <c r="J555" t="inlineStr">
        <is>
          <t>Done</t>
        </is>
      </c>
      <c r="K555"/>
      <c r="L555" s="3" t="str">
        <f>=HYPERLINK("https://www.iphonemod.net/pixel-watch-4s-new-gestures-are-handy-but-did-google-do-it-better-a-decade-ago.html", "https://www.iphonemod.net/pixel-watch-4s-new-gestures-are-handy-but-did-google-do-it-better-a-decade-ago.html")</f>
        <v>https://www.iphonemod.net/pixel-watch-4s-new-gestures-are-handy-but-did-google-do-it-better-a-decade-ago.html</v>
      </c>
      <c r="M555" t="inlineStr">
        <is>
          <t>1</t>
        </is>
      </c>
      <c r="N555" t="inlineStr">
        <is>
          <t>Android, Tech</t>
        </is>
      </c>
      <c r="O555"/>
    </row>
    <row r="556" ht="12.75" customHeight="1">
      <c r="A556" t="inlineStr">
        <is>
          <t>YouTube ปรับโฉมใหม่ ให้กับ Video Player บนแอป TVs พร้อมฟีเจอร์ใหม่</t>
        </is>
      </c>
      <c r="B556" t="inlineStr">
        <is>
          <t>Sasithakan Sritonthip</t>
        </is>
      </c>
      <c r="C556" s="2">
        <v>46006</v>
      </c>
      <c r="D556" s="2">
        <v>46006</v>
      </c>
      <c r="E556" t="inlineStr">
        <is>
          <t>ปกติ</t>
        </is>
      </c>
      <c r="F556" s="3" t="str">
        <f>=HYPERLINK("https://9to5google.com/2025/12/12/youtube-redesigned-video-player-for-tvs-20th-birthday/", "https://9to5google.com/2025/12/12/youtube-redesigned-video-player-for-tvs-20th-birthday/")</f>
        <v>https://9to5google.com/2025/12/12/youtube-redesigned-video-player-for-tvs-20th-birthday/</v>
      </c>
      <c r="G556"/>
      <c r="H556" t="inlineStr">
        <is>
          <t>Website</t>
        </is>
      </c>
      <c r="I556" t="inlineStr">
        <is>
          <t>งานประจำวัน</t>
        </is>
      </c>
      <c r="J556" t="inlineStr">
        <is>
          <t>Done</t>
        </is>
      </c>
      <c r="K556"/>
      <c r="L556" s="3"/>
      <c r="M556" t="inlineStr">
        <is>
          <t>1</t>
        </is>
      </c>
      <c r="N556" t="inlineStr">
        <is>
          <t>Tech</t>
        </is>
      </c>
      <c r="O556"/>
    </row>
    <row r="557" ht="12.75" customHeight="1">
      <c r="A557" t="inlineStr">
        <is>
          <t>(ตัดจากคลิปใหญ่) รวม iPad ที่ Apple ยังขายอยู่ ปลายปี '25</t>
        </is>
      </c>
      <c r="B557" t="inlineStr">
        <is>
          <t>Sasithakan Sritonthip</t>
        </is>
      </c>
      <c r="C557" s="2">
        <v>46006</v>
      </c>
      <c r="D557" s="2">
        <v>46006</v>
      </c>
      <c r="E557" t="inlineStr">
        <is>
          <t>ปกติ</t>
        </is>
      </c>
      <c r="F557" s="3" t="str">
        <f>=HYPERLINK("https://www.youtube.com/watch?v=v_7P_i6aO7c&amp;t=1469s", "https://www.youtube.com/watch?v=v_7P_i6aO7c&amp;t=1469s")</f>
        <v>https://www.youtube.com/watch?v=v_7P_i6aO7c&amp;t=1469s</v>
      </c>
      <c r="G557"/>
      <c r="H557" t="inlineStr">
        <is>
          <t>Shorts</t>
        </is>
      </c>
      <c r="I557" t="inlineStr">
        <is>
          <t>งานประจำวัน</t>
        </is>
      </c>
      <c r="J557" t="inlineStr">
        <is>
          <t>Done</t>
        </is>
      </c>
      <c r="K557"/>
      <c r="L557" s="3"/>
      <c r="M557" t="inlineStr">
        <is>
          <t>1</t>
        </is>
      </c>
      <c r="N557" t="inlineStr">
        <is>
          <t>Apple</t>
        </is>
      </c>
      <c r="O557"/>
    </row>
    <row r="558" ht="12.75" customHeight="1">
      <c r="A558" t="inlineStr">
        <is>
          <t>(ตัดจากคลิปใหญ่) สอนใช้งาน Slide Over บน iPadOS 26.2 (ตัวเต็ม)</t>
        </is>
      </c>
      <c r="B558" t="inlineStr">
        <is>
          <t>Sasithakan Sritonthip</t>
        </is>
      </c>
      <c r="C558" s="2">
        <v>46006</v>
      </c>
      <c r="D558" s="2">
        <v>46007</v>
      </c>
      <c r="E558" t="inlineStr">
        <is>
          <t>ปกติ</t>
        </is>
      </c>
      <c r="F558" s="3" t="str">
        <f>=HYPERLINK("https://youtu.be/jE3tuO33hBo?si=1TFfM-ynNYAN9N-0", "https://youtu.be/jE3tuO33hBo?si=1TFfM-ynNYAN9N-0")</f>
        <v>https://youtu.be/jE3tuO33hBo?si=1TFfM-ynNYAN9N-0</v>
      </c>
      <c r="G558"/>
      <c r="H558" t="inlineStr">
        <is>
          <t>Shorts</t>
        </is>
      </c>
      <c r="I558" t="inlineStr">
        <is>
          <t>งานประจำวัน</t>
        </is>
      </c>
      <c r="J558" t="inlineStr">
        <is>
          <t>Done</t>
        </is>
      </c>
      <c r="K558"/>
      <c r="L558" s="3"/>
      <c r="M558" t="inlineStr">
        <is>
          <t>1</t>
        </is>
      </c>
      <c r="N558" t="inlineStr">
        <is>
          <t>Apple</t>
        </is>
      </c>
      <c r="O558"/>
    </row>
    <row r="559" ht="12.75" customHeight="1">
      <c r="A559" t="inlineStr">
        <is>
          <t>(ตัดจากคลิปใหญ่) iPad มือสอง น่าซื้อ ปลาย 2025 - ต้น 2026</t>
        </is>
      </c>
      <c r="B559" t="inlineStr">
        <is>
          <t>Sasithakan Sritonthip</t>
        </is>
      </c>
      <c r="C559" s="2">
        <v>46006</v>
      </c>
      <c r="D559" s="2">
        <v>46006</v>
      </c>
      <c r="E559" t="inlineStr">
        <is>
          <t>ปกติ</t>
        </is>
      </c>
      <c r="F559" s="3" t="str">
        <f>=HYPERLINK("https://www.youtube.com/watch?v=v_7P_i6aO7c&amp;t=1469s", "https://www.youtube.com/watch?v=v_7P_i6aO7c&amp;t=1469s")</f>
        <v>https://www.youtube.com/watch?v=v_7P_i6aO7c&amp;t=1469s</v>
      </c>
      <c r="G559"/>
      <c r="H559" t="inlineStr">
        <is>
          <t>Shorts</t>
        </is>
      </c>
      <c r="I559" t="inlineStr">
        <is>
          <t>งานประจำวัน</t>
        </is>
      </c>
      <c r="J559" t="inlineStr">
        <is>
          <t>Done</t>
        </is>
      </c>
      <c r="K559"/>
      <c r="L559" s="3"/>
      <c r="M559" t="inlineStr">
        <is>
          <t>1</t>
        </is>
      </c>
      <c r="N559" t="inlineStr">
        <is>
          <t>Apple</t>
        </is>
      </c>
      <c r="O559"/>
    </row>
    <row r="560" ht="12.75" customHeight="1">
      <c r="A560" t="inlineStr">
        <is>
          <t>(ตัดจากคลิปใหญ่) สอนใช้งาน Split View บน iPadOS 26.2 (ตัวเต็ม)</t>
        </is>
      </c>
      <c r="B560" t="inlineStr">
        <is>
          <t>Sasithakan Sritonthip</t>
        </is>
      </c>
      <c r="C560" s="2">
        <v>46006</v>
      </c>
      <c r="D560" s="2">
        <v>46007</v>
      </c>
      <c r="E560" t="inlineStr">
        <is>
          <t>ปกติ</t>
        </is>
      </c>
      <c r="F560" s="3" t="str">
        <f>=HYPERLINK("https://youtu.be/jE3tuO33hBo?si=1TFfM-ynNYAN9N-0", "https://youtu.be/jE3tuO33hBo?si=1TFfM-ynNYAN9N-0")</f>
        <v>https://youtu.be/jE3tuO33hBo?si=1TFfM-ynNYAN9N-0</v>
      </c>
      <c r="G560"/>
      <c r="H560" t="inlineStr">
        <is>
          <t>Shorts</t>
        </is>
      </c>
      <c r="I560" t="inlineStr">
        <is>
          <t>งานประจำวัน</t>
        </is>
      </c>
      <c r="J560" t="inlineStr">
        <is>
          <t>Done</t>
        </is>
      </c>
      <c r="K560"/>
      <c r="L560" s="3"/>
      <c r="M560" t="inlineStr">
        <is>
          <t>1</t>
        </is>
      </c>
      <c r="N560" t="inlineStr">
        <is>
          <t>Apple</t>
        </is>
      </c>
      <c r="O560"/>
    </row>
    <row r="561" ht="12.75" customHeight="1">
      <c r="A561" t="inlineStr">
        <is>
          <t>(ตัดจากคลิปใหญ่) สอนใช้งาน Slide Over &amp; Split View บน iPadOS 26.2 (ตัวเต็ม)</t>
        </is>
      </c>
      <c r="B561" t="inlineStr">
        <is>
          <t>Sasithakan Sritonthip</t>
        </is>
      </c>
      <c r="C561" s="2">
        <v>46006</v>
      </c>
      <c r="D561" s="2">
        <v>46007</v>
      </c>
      <c r="E561" t="inlineStr">
        <is>
          <t>ปกติ</t>
        </is>
      </c>
      <c r="F561" s="3" t="str">
        <f>=HYPERLINK("https://youtu.be/jE3tuO33hBo?si=1TFfM-ynNYAN9N-0", "https://youtu.be/jE3tuO33hBo?si=1TFfM-ynNYAN9N-0")</f>
        <v>https://youtu.be/jE3tuO33hBo?si=1TFfM-ynNYAN9N-0</v>
      </c>
      <c r="G561"/>
      <c r="H561" t="inlineStr">
        <is>
          <t>Shorts</t>
        </is>
      </c>
      <c r="I561" t="inlineStr">
        <is>
          <t>งานประจำวัน</t>
        </is>
      </c>
      <c r="J561" t="inlineStr">
        <is>
          <t>Done</t>
        </is>
      </c>
      <c r="K561"/>
      <c r="L561" s="3"/>
      <c r="M561" t="inlineStr">
        <is>
          <t>1</t>
        </is>
      </c>
      <c r="N561" t="inlineStr">
        <is>
          <t>Apple</t>
        </is>
      </c>
      <c r="O561"/>
    </row>
    <row r="562" ht="12.75" customHeight="1">
      <c r="A562" t="inlineStr">
        <is>
          <t>สอนใช้ GOOD LOCK-1</t>
        </is>
      </c>
      <c r="B562" t="inlineStr">
        <is>
          <t>Saktaphat Kordjan</t>
        </is>
      </c>
      <c r="C562" s="2">
        <v>46006</v>
      </c>
      <c r="D562" s="2">
        <v>46006</v>
      </c>
      <c r="E562"/>
      <c r="F562" s="3"/>
      <c r="G562"/>
      <c r="H562" t="inlineStr">
        <is>
          <t>Shorts</t>
        </is>
      </c>
      <c r="I562" t="inlineStr">
        <is>
          <t>เสนอไอเดีย</t>
        </is>
      </c>
      <c r="J562" t="inlineStr">
        <is>
          <t>Done</t>
        </is>
      </c>
      <c r="K562"/>
      <c r="L562" s="3"/>
      <c r="M562" t="inlineStr">
        <is>
          <t>1</t>
        </is>
      </c>
      <c r="N562" t="inlineStr">
        <is>
          <t>Android</t>
        </is>
      </c>
      <c r="O562"/>
    </row>
    <row r="563" ht="12.75" customHeight="1">
      <c r="A563" t="inlineStr">
        <is>
          <t>เตรียมสัมผัส! HUAWEI MatePad รุ่นใหม่ล่าสุดที่มาพร้อมกับสมรรถนะระดับพีซี</t>
        </is>
      </c>
      <c r="B563" t="inlineStr">
        <is>
          <t>Saktaphat Kordjan</t>
        </is>
      </c>
      <c r="C563" s="2">
        <v>46006</v>
      </c>
      <c r="D563" s="2">
        <v>46006</v>
      </c>
      <c r="E563"/>
      <c r="F563" s="3"/>
      <c r="G563"/>
      <c r="H563" t="inlineStr">
        <is>
          <t>Website</t>
        </is>
      </c>
      <c r="I563" t="inlineStr">
        <is>
          <t>งานประจำวัน</t>
        </is>
      </c>
      <c r="J563" t="inlineStr">
        <is>
          <t>Done</t>
        </is>
      </c>
      <c r="K563"/>
      <c r="L563" s="3"/>
      <c r="M563" t="inlineStr">
        <is>
          <t>1</t>
        </is>
      </c>
      <c r="N563" t="inlineStr">
        <is>
          <t>PR</t>
        </is>
      </c>
      <c r="O563"/>
    </row>
    <row r="564" ht="12.75" customHeight="1">
      <c r="A564" t="inlineStr">
        <is>
          <t>สมาร์ตโฟน RAM 16GB เสี่ยงหายาก เนื่องจากขาดแคลนหน่วยความจำ</t>
        </is>
      </c>
      <c r="B564" t="inlineStr">
        <is>
          <t>Saktaphat Kordjan</t>
        </is>
      </c>
      <c r="C564" s="2">
        <v>46006</v>
      </c>
      <c r="D564" s="2">
        <v>46006</v>
      </c>
      <c r="E564"/>
      <c r="F564" s="3"/>
      <c r="G564"/>
      <c r="H564" t="inlineStr">
        <is>
          <t>Website</t>
        </is>
      </c>
      <c r="I564" t="inlineStr">
        <is>
          <t>งานประจำวัน</t>
        </is>
      </c>
      <c r="J564" t="inlineStr">
        <is>
          <t>Done</t>
        </is>
      </c>
      <c r="K564"/>
      <c r="L564" s="3"/>
      <c r="M564" t="inlineStr">
        <is>
          <t>1</t>
        </is>
      </c>
      <c r="N564" t="inlineStr">
        <is>
          <t>Android</t>
        </is>
      </c>
      <c r="O564"/>
    </row>
    <row r="565" ht="12.75" customHeight="1">
      <c r="A565" t="inlineStr">
        <is>
          <t>แอปยอดนิยมชาวไทย by Apple</t>
        </is>
      </c>
      <c r="B565" t="inlineStr">
        <is>
          <t>Krongkwun  Rithiwong</t>
        </is>
      </c>
      <c r="C565" s="2">
        <v>46006</v>
      </c>
      <c r="D565" s="2">
        <v>46006</v>
      </c>
      <c r="E565" t="inlineStr">
        <is>
          <t>ปกติ</t>
        </is>
      </c>
      <c r="F565" s="3"/>
      <c r="G565"/>
      <c r="H565" t="inlineStr">
        <is>
          <t>Shorts</t>
        </is>
      </c>
      <c r="I565" t="inlineStr">
        <is>
          <t>งานประจำวัน</t>
        </is>
      </c>
      <c r="J565" t="inlineStr">
        <is>
          <t>Done</t>
        </is>
      </c>
      <c r="K565"/>
      <c r="L565" s="3"/>
      <c r="M565" t="inlineStr">
        <is>
          <t>1</t>
        </is>
      </c>
      <c r="N565" t="inlineStr">
        <is>
          <t>Apple</t>
        </is>
      </c>
      <c r="O565"/>
    </row>
    <row r="566" ht="12.75" customHeight="1">
      <c r="A566" t="inlineStr">
        <is>
          <t>(ตัดจากคลิปใหญ่) Apple ช่วยเตือนภัย โรคเงียบ</t>
        </is>
      </c>
      <c r="B566" t="inlineStr">
        <is>
          <t>Sasithakan Sritonthip</t>
        </is>
      </c>
      <c r="C566" s="2">
        <v>46004</v>
      </c>
      <c r="D566" s="2">
        <v>46004</v>
      </c>
      <c r="E566" t="inlineStr">
        <is>
          <t>ปกติ</t>
        </is>
      </c>
      <c r="F566" s="3" t="str">
        <f>=HYPERLINK("https://youtu.be/L8oAZH-8jUQ?si=wjx2vAxLowRHTWQd", "https://youtu.be/L8oAZH-8jUQ?si=wjx2vAxLowRHTWQd")</f>
        <v>https://youtu.be/L8oAZH-8jUQ?si=wjx2vAxLowRHTWQd</v>
      </c>
      <c r="G566"/>
      <c r="H566" t="inlineStr">
        <is>
          <t>Shorts</t>
        </is>
      </c>
      <c r="I566" t="inlineStr">
        <is>
          <t>งานประจำวัน</t>
        </is>
      </c>
      <c r="J566" t="inlineStr">
        <is>
          <t>Done</t>
        </is>
      </c>
      <c r="K566"/>
      <c r="L566" s="3"/>
      <c r="M566" t="inlineStr">
        <is>
          <t>1</t>
        </is>
      </c>
      <c r="N566" t="inlineStr">
        <is>
          <t>Apple</t>
        </is>
      </c>
      <c r="O566"/>
    </row>
    <row r="567" ht="12.75" customHeight="1">
      <c r="A567" t="inlineStr">
        <is>
          <t>ลือ Smart Home Hub</t>
        </is>
      </c>
      <c r="B567" t="inlineStr">
        <is>
          <t>Krongkwun  Rithiwong</t>
        </is>
      </c>
      <c r="C567" s="2">
        <v>46003</v>
      </c>
      <c r="D567" s="2">
        <v>46006</v>
      </c>
      <c r="E567" t="inlineStr">
        <is>
          <t>ปกติ</t>
        </is>
      </c>
      <c r="F567" s="3"/>
      <c r="G567"/>
      <c r="H567" t="inlineStr">
        <is>
          <t>Shorts</t>
        </is>
      </c>
      <c r="I567"/>
      <c r="J567" t="inlineStr">
        <is>
          <t>Done</t>
        </is>
      </c>
      <c r="K567"/>
      <c r="L567" s="3"/>
      <c r="M567" t="inlineStr">
        <is>
          <t>1</t>
        </is>
      </c>
      <c r="N567" t="inlineStr">
        <is>
          <t>Apple</t>
        </is>
      </c>
      <c r="O567"/>
    </row>
    <row r="568" ht="12.75" customHeight="1">
      <c r="A568" t="inlineStr">
        <is>
          <t>ChatGPT จับมือ Adobe</t>
        </is>
      </c>
      <c r="B568" t="inlineStr">
        <is>
          <t>Nattida Suriyodara</t>
        </is>
      </c>
      <c r="C568" s="2">
        <v>46002</v>
      </c>
      <c r="D568" s="2">
        <v>46002</v>
      </c>
      <c r="E568"/>
      <c r="F568" s="3"/>
      <c r="G568"/>
      <c r="H568" t="inlineStr">
        <is>
          <t>Website, Pic Posts / Album</t>
        </is>
      </c>
      <c r="I568" t="inlineStr">
        <is>
          <t>งานประจำวัน</t>
        </is>
      </c>
      <c r="J568" t="inlineStr">
        <is>
          <t>Done</t>
        </is>
      </c>
      <c r="K568"/>
      <c r="L568" s="3"/>
      <c r="M568" t="inlineStr">
        <is>
          <t>1</t>
        </is>
      </c>
      <c r="N568" t="inlineStr">
        <is>
          <t>AI, Tech</t>
        </is>
      </c>
      <c r="O568"/>
    </row>
    <row r="569" ht="12.75" customHeight="1">
      <c r="A569" t="inlineStr">
        <is>
          <t>IG เปิดให้เลือกอัลกอริทึมที่สนใจ</t>
        </is>
      </c>
      <c r="B569" t="inlineStr">
        <is>
          <t>Saktaphat Kordjan</t>
        </is>
      </c>
      <c r="C569" s="2">
        <v>46002</v>
      </c>
      <c r="D569" s="2">
        <v>46002</v>
      </c>
      <c r="E569"/>
      <c r="F569" s="3"/>
      <c r="G569"/>
      <c r="H569" t="inlineStr">
        <is>
          <t>Shorts, Pic Posts / Album, Website</t>
        </is>
      </c>
      <c r="I569" t="inlineStr">
        <is>
          <t>เสนอไอเดีย</t>
        </is>
      </c>
      <c r="J569" t="inlineStr">
        <is>
          <t>Done</t>
        </is>
      </c>
      <c r="K569"/>
      <c r="L569" s="3"/>
      <c r="M569" t="inlineStr">
        <is>
          <t>1</t>
        </is>
      </c>
      <c r="N569" t="inlineStr">
        <is>
          <t>ทั่วไป</t>
        </is>
      </c>
      <c r="O569"/>
    </row>
    <row r="570" ht="12.75" customHeight="1">
      <c r="A570" t="inlineStr">
        <is>
          <t>Google จ่อเปิดตัว แว่นตา AI 2 รุ่น ภายในปี 2026</t>
        </is>
      </c>
      <c r="B570" t="inlineStr">
        <is>
          <t>Nattida Suriyodara,Sasithakan Sritonthip</t>
        </is>
      </c>
      <c r="C570" s="2">
        <v>46002</v>
      </c>
      <c r="D570" s="2">
        <v>46002</v>
      </c>
      <c r="E570" t="inlineStr">
        <is>
          <t>ปกติ</t>
        </is>
      </c>
      <c r="F570" s="3"/>
      <c r="G570"/>
      <c r="H570" t="inlineStr">
        <is>
          <t>Shorts</t>
        </is>
      </c>
      <c r="I570" t="inlineStr">
        <is>
          <t>งานประจำวัน</t>
        </is>
      </c>
      <c r="J570" t="inlineStr">
        <is>
          <t>Done</t>
        </is>
      </c>
      <c r="K570"/>
      <c r="L570" s="3"/>
      <c r="M570" t="inlineStr">
        <is>
          <t>1</t>
        </is>
      </c>
      <c r="N570" t="inlineStr">
        <is>
          <t>Android</t>
        </is>
      </c>
      <c r="O570"/>
    </row>
    <row r="571" ht="12.75" customHeight="1">
      <c r="A571" t="inlineStr">
        <is>
          <t>Veo 3.1 อัปเกรดใหม่</t>
        </is>
      </c>
      <c r="B571" t="inlineStr">
        <is>
          <t>Nattida Suriyodara</t>
        </is>
      </c>
      <c r="C571" s="2">
        <v>46002</v>
      </c>
      <c r="D571" s="2">
        <v>46002</v>
      </c>
      <c r="E571"/>
      <c r="F571" s="3"/>
      <c r="G571"/>
      <c r="H571" t="inlineStr">
        <is>
          <t>Shorts, Website, Pic Posts / Album</t>
        </is>
      </c>
      <c r="I571" t="inlineStr">
        <is>
          <t>งานประจำวัน</t>
        </is>
      </c>
      <c r="J571" t="inlineStr">
        <is>
          <t>Done</t>
        </is>
      </c>
      <c r="K571"/>
      <c r="L571" s="3"/>
      <c r="M571" t="inlineStr">
        <is>
          <t>1</t>
        </is>
      </c>
      <c r="N571" t="inlineStr">
        <is>
          <t>AI</t>
        </is>
      </c>
      <c r="O571"/>
    </row>
    <row r="572" ht="12.75" customHeight="1">
      <c r="A572" t="inlineStr">
        <is>
          <t>12.12 | iPad รุ่นไหนเหมาะกับใคร?</t>
        </is>
      </c>
      <c r="B572" t="inlineStr">
        <is>
          <t>Krongkwun  Rithiwong</t>
        </is>
      </c>
      <c r="C572" s="2">
        <v>46002</v>
      </c>
      <c r="D572" s="2">
        <v>46002</v>
      </c>
      <c r="E572" t="inlineStr">
        <is>
          <t>ปกติ</t>
        </is>
      </c>
      <c r="F572" s="3"/>
      <c r="G572"/>
      <c r="H572" t="inlineStr">
        <is>
          <t>Shorts</t>
        </is>
      </c>
      <c r="I572"/>
      <c r="J572" t="inlineStr">
        <is>
          <t>Done</t>
        </is>
      </c>
      <c r="K572"/>
      <c r="L572" s="3"/>
      <c r="M572" t="inlineStr">
        <is>
          <t>1</t>
        </is>
      </c>
      <c r="N572" t="inlineStr">
        <is>
          <t>Apple</t>
        </is>
      </c>
      <c r="O572"/>
    </row>
    <row r="573" ht="12.75" customHeight="1">
      <c r="A573" t="inlineStr">
        <is>
          <t xml:space="preserve">iPhone 16 ขายดีที่สุดในโลก </t>
        </is>
      </c>
      <c r="B573" t="inlineStr">
        <is>
          <t>Nattida Suriyodara</t>
        </is>
      </c>
      <c r="C573" s="2">
        <v>46001</v>
      </c>
      <c r="D573" s="2">
        <v>46001</v>
      </c>
      <c r="E573"/>
      <c r="F573" s="3"/>
      <c r="G573"/>
      <c r="H573" t="inlineStr">
        <is>
          <t>Shorts</t>
        </is>
      </c>
      <c r="I573" t="inlineStr">
        <is>
          <t>งานประจำวัน</t>
        </is>
      </c>
      <c r="J573" t="inlineStr">
        <is>
          <t>Done</t>
        </is>
      </c>
      <c r="K573"/>
      <c r="L573" s="3"/>
      <c r="M573" t="inlineStr">
        <is>
          <t>1</t>
        </is>
      </c>
      <c r="N573" t="inlineStr">
        <is>
          <t>Apple</t>
        </is>
      </c>
      <c r="O573"/>
    </row>
    <row r="574" ht="12.75" customHeight="1">
      <c r="A574" t="inlineStr">
        <is>
          <t>(ตัดจากคลิปใหญ่) iPhone มือ 2 น่าซื้อ ปลาย 2025-ต้น 2026</t>
        </is>
      </c>
      <c r="B574" t="inlineStr">
        <is>
          <t>Sasithakan Sritonthip</t>
        </is>
      </c>
      <c r="C574" s="2">
        <v>46001</v>
      </c>
      <c r="D574" s="2">
        <v>46001</v>
      </c>
      <c r="E574" t="inlineStr">
        <is>
          <t>ปกติ</t>
        </is>
      </c>
      <c r="F574" s="3" t="str">
        <f>=HYPERLINK("https://youtu.be/QdLocx_qKj4?si=01tOdfF2ontx-JFE", "https://youtu.be/QdLocx_qKj4?si=01tOdfF2ontx-JFE")</f>
        <v>https://youtu.be/QdLocx_qKj4?si=01tOdfF2ontx-JFE</v>
      </c>
      <c r="G574"/>
      <c r="H574" t="inlineStr">
        <is>
          <t>Shorts</t>
        </is>
      </c>
      <c r="I574" t="inlineStr">
        <is>
          <t>งานประจำวัน</t>
        </is>
      </c>
      <c r="J574" t="inlineStr">
        <is>
          <t>Done</t>
        </is>
      </c>
      <c r="K574"/>
      <c r="L574" s="3"/>
      <c r="M574" t="inlineStr">
        <is>
          <t>1</t>
        </is>
      </c>
      <c r="N574" t="inlineStr">
        <is>
          <t>Apple</t>
        </is>
      </c>
      <c r="O574"/>
    </row>
    <row r="575" ht="12.75" customHeight="1">
      <c r="A575" t="inlineStr">
        <is>
          <t>Pebble เปิดตัว แหวนอัจฉริยะบันทึกเสียงด่วนทันทีที่กด ราคาประหยัด รองรับ iPhone</t>
        </is>
      </c>
      <c r="B575" t="inlineStr">
        <is>
          <t>Sasithakan Sritonthip</t>
        </is>
      </c>
      <c r="C575" s="2">
        <v>46001</v>
      </c>
      <c r="D575" s="2">
        <v>46001</v>
      </c>
      <c r="E575" t="inlineStr">
        <is>
          <t>ปกติ</t>
        </is>
      </c>
      <c r="F575" s="3" t="str">
        <f>=HYPERLINK("https://www.macrumors.com/2025/12/09/pebble-index-01-smart-ring/", "https://www.macrumors.com/2025/12/09/pebble-index-01-smart-ring/")</f>
        <v>https://www.macrumors.com/2025/12/09/pebble-index-01-smart-ring/</v>
      </c>
      <c r="G575"/>
      <c r="H575" t="inlineStr">
        <is>
          <t>Website</t>
        </is>
      </c>
      <c r="I575" t="inlineStr">
        <is>
          <t>งานประจำวัน</t>
        </is>
      </c>
      <c r="J575" t="inlineStr">
        <is>
          <t>Done</t>
        </is>
      </c>
      <c r="K575"/>
      <c r="L575" s="3"/>
      <c r="M575" t="inlineStr">
        <is>
          <t>1</t>
        </is>
      </c>
      <c r="N575" t="inlineStr">
        <is>
          <t>Apple</t>
        </is>
      </c>
      <c r="O575"/>
    </row>
    <row r="576" ht="12.75" customHeight="1">
      <c r="A576" t="inlineStr">
        <is>
          <t>สรุปข่าวไอที 10/12/2025</t>
        </is>
      </c>
      <c r="B576" t="inlineStr">
        <is>
          <t>Saktaphat Kordjan</t>
        </is>
      </c>
      <c r="C576" s="2">
        <v>46001</v>
      </c>
      <c r="D576" s="2">
        <v>46001</v>
      </c>
      <c r="E576"/>
      <c r="F576" s="3"/>
      <c r="G576"/>
      <c r="H576" t="inlineStr">
        <is>
          <t>YouTube</t>
        </is>
      </c>
      <c r="I576" t="inlineStr">
        <is>
          <t>เสนอไอเดีย</t>
        </is>
      </c>
      <c r="J576" t="inlineStr">
        <is>
          <t>Done</t>
        </is>
      </c>
      <c r="K576"/>
      <c r="L576" s="3"/>
      <c r="M576" t="inlineStr">
        <is>
          <t>1</t>
        </is>
      </c>
      <c r="N576" t="inlineStr">
        <is>
          <t>Android, Tech, ทั่วไป</t>
        </is>
      </c>
      <c r="O576"/>
    </row>
    <row r="577" ht="12.75" customHeight="1">
      <c r="A577" t="inlineStr">
        <is>
          <t xml:space="preserve">One Ui 8.5 </t>
        </is>
      </c>
      <c r="B577" t="inlineStr">
        <is>
          <t>Saktaphat Kordjan</t>
        </is>
      </c>
      <c r="C577" s="2">
        <v>46001</v>
      </c>
      <c r="D577" s="2">
        <v>46001</v>
      </c>
      <c r="E577"/>
      <c r="F577" s="3"/>
      <c r="G577"/>
      <c r="H577" t="inlineStr">
        <is>
          <t>Shorts</t>
        </is>
      </c>
      <c r="I577" t="inlineStr">
        <is>
          <t>งานประจำวัน</t>
        </is>
      </c>
      <c r="J577" t="inlineStr">
        <is>
          <t>Done</t>
        </is>
      </c>
      <c r="K577"/>
      <c r="L577" s="3"/>
      <c r="M577" t="inlineStr">
        <is>
          <t>1</t>
        </is>
      </c>
      <c r="N577" t="inlineStr">
        <is>
          <t>Android</t>
        </is>
      </c>
      <c r="O577"/>
    </row>
    <row r="578" ht="12.75" customHeight="1">
      <c r="A578" t="inlineStr">
        <is>
          <t>เด็กอายุต่ำกว่า 12 สมาร์ตโฟน</t>
        </is>
      </c>
      <c r="B578" t="inlineStr">
        <is>
          <t>Nattida Suriyodara</t>
        </is>
      </c>
      <c r="C578" s="2">
        <v>46001</v>
      </c>
      <c r="D578" s="2">
        <v>46001</v>
      </c>
      <c r="E578"/>
      <c r="F578" s="3"/>
      <c r="G578"/>
      <c r="H578" t="inlineStr">
        <is>
          <t>Shorts</t>
        </is>
      </c>
      <c r="I578" t="inlineStr">
        <is>
          <t>งานประจำวัน</t>
        </is>
      </c>
      <c r="J578" t="inlineStr">
        <is>
          <t>Done</t>
        </is>
      </c>
      <c r="K578"/>
      <c r="L578" s="3"/>
      <c r="M578" t="inlineStr">
        <is>
          <t>1</t>
        </is>
      </c>
      <c r="N578" t="inlineStr">
        <is>
          <t>ทั่วไป</t>
        </is>
      </c>
      <c r="O578"/>
    </row>
    <row r="579" ht="12.75" customHeight="1">
      <c r="A579" t="inlineStr">
        <is>
          <t>Google Maps บน iOS บันทึกตำแหน่งจอดรถให้อัตโนมัติ และสามารถเพิ่มไอคอนรถน่ารัก ๆ บน Map ได้</t>
        </is>
      </c>
      <c r="B579" t="inlineStr">
        <is>
          <t>Sasithakan Sritonthip</t>
        </is>
      </c>
      <c r="C579" s="2">
        <v>46001</v>
      </c>
      <c r="D579" s="2">
        <v>46001</v>
      </c>
      <c r="E579" t="inlineStr">
        <is>
          <t>ปกติ</t>
        </is>
      </c>
      <c r="F579" s="3" t="str">
        <f>=HYPERLINK("https://9to5google.com/2025/12/09/google-maps-parking-location-updates-automatic-icons/", "https://9to5google.com/2025/12/09/google-maps-parking-location-updates-automatic-icons/")</f>
        <v>https://9to5google.com/2025/12/09/google-maps-parking-location-updates-automatic-icons/</v>
      </c>
      <c r="G579"/>
      <c r="H579" t="inlineStr">
        <is>
          <t>Website</t>
        </is>
      </c>
      <c r="I579" t="inlineStr">
        <is>
          <t>งานประจำวัน</t>
        </is>
      </c>
      <c r="J579" t="inlineStr">
        <is>
          <t>Done</t>
        </is>
      </c>
      <c r="K579"/>
      <c r="L579" s="3" t="str">
        <f>=HYPERLINK("https://www.iphonemod.net/google-maps-parking-location-now-automatically-saves-on-ios-adds-custom-icons.html", "https://www.iphonemod.net/google-maps-parking-location-now-automatically-saves-on-ios-adds-custom-icons.html")</f>
        <v>https://www.iphonemod.net/google-maps-parking-location-now-automatically-saves-on-ios-adds-custom-icons.html</v>
      </c>
      <c r="M579" t="inlineStr">
        <is>
          <t>1</t>
        </is>
      </c>
      <c r="N579" t="inlineStr">
        <is>
          <t>Apple, Tech</t>
        </is>
      </c>
      <c r="O579"/>
    </row>
    <row r="580" ht="12.75" customHeight="1">
      <c r="A580" t="inlineStr">
        <is>
          <t>Trump อนุญาตให้ Nvidia ขายชิประดับสูงแก่ลูกค้าที่ได้รับอนุมัติในจีน</t>
        </is>
      </c>
      <c r="B580" t="inlineStr">
        <is>
          <t>Saktaphat Kordjan</t>
        </is>
      </c>
      <c r="C580" s="2">
        <v>46001</v>
      </c>
      <c r="D580" s="2">
        <v>46001</v>
      </c>
      <c r="E580"/>
      <c r="F580" s="3"/>
      <c r="G580"/>
      <c r="H580" t="inlineStr">
        <is>
          <t>Website</t>
        </is>
      </c>
      <c r="I580" t="inlineStr">
        <is>
          <t>งานประจำวัน</t>
        </is>
      </c>
      <c r="J580" t="inlineStr">
        <is>
          <t>Done</t>
        </is>
      </c>
      <c r="K580"/>
      <c r="L580" s="3"/>
      <c r="M580" t="inlineStr">
        <is>
          <t>1</t>
        </is>
      </c>
      <c r="N580" t="inlineStr">
        <is>
          <t>Tech</t>
        </is>
      </c>
      <c r="O580"/>
    </row>
    <row r="581" ht="12.75" customHeight="1">
      <c r="A581" t="inlineStr">
        <is>
          <t>ออสเตรเลียเริ่มบังคับใช้กฎหมาย ไม่ให้เด็กอายุต่ำกว่า 16 ใช้โซเชียล</t>
        </is>
      </c>
      <c r="B581" t="inlineStr">
        <is>
          <t>Saktaphat Kordjan</t>
        </is>
      </c>
      <c r="C581" s="2">
        <v>46001</v>
      </c>
      <c r="D581" s="2">
        <v>46001</v>
      </c>
      <c r="E581"/>
      <c r="F581" s="3"/>
      <c r="G581"/>
      <c r="H581" t="inlineStr">
        <is>
          <t>Website, Pic Posts / Album</t>
        </is>
      </c>
      <c r="I581" t="inlineStr">
        <is>
          <t>เสนอไอเดีย</t>
        </is>
      </c>
      <c r="J581" t="inlineStr">
        <is>
          <t>Done</t>
        </is>
      </c>
      <c r="K581"/>
      <c r="L581" s="3"/>
      <c r="M581" t="inlineStr">
        <is>
          <t>1</t>
        </is>
      </c>
      <c r="N581" t="inlineStr">
        <is>
          <t>ทั่วไป</t>
        </is>
      </c>
      <c r="O581"/>
    </row>
    <row r="582" ht="12.75" customHeight="1">
      <c r="A582" t="inlineStr">
        <is>
          <t>(ตัดจากคลิปใหญ่) iPhone น่าซื้อ ปลาย 2025-ต้น 2026</t>
        </is>
      </c>
      <c r="B582" t="inlineStr">
        <is>
          <t>Sasithakan Sritonthip</t>
        </is>
      </c>
      <c r="C582" s="2">
        <v>46001</v>
      </c>
      <c r="D582" s="2">
        <v>46001</v>
      </c>
      <c r="E582" t="inlineStr">
        <is>
          <t>ปกติ</t>
        </is>
      </c>
      <c r="F582" s="3" t="str">
        <f>=HYPERLINK("https://youtu.be/QdLocx_qKj4?si=01tOdfF2ontx-JFE", "https://youtu.be/QdLocx_qKj4?si=01tOdfF2ontx-JFE")</f>
        <v>https://youtu.be/QdLocx_qKj4?si=01tOdfF2ontx-JFE</v>
      </c>
      <c r="G582"/>
      <c r="H582" t="inlineStr">
        <is>
          <t>Shorts</t>
        </is>
      </c>
      <c r="I582" t="inlineStr">
        <is>
          <t>งานประจำวัน</t>
        </is>
      </c>
      <c r="J582" t="inlineStr">
        <is>
          <t>Done</t>
        </is>
      </c>
      <c r="K582"/>
      <c r="L582" s="3"/>
      <c r="M582" t="inlineStr">
        <is>
          <t>1</t>
        </is>
      </c>
      <c r="N582" t="inlineStr">
        <is>
          <t>Apple</t>
        </is>
      </c>
      <c r="O582"/>
    </row>
    <row r="583" ht="12.75" customHeight="1">
      <c r="A583" t="inlineStr">
        <is>
          <t>(ตัดจากคลิปใหญ่) รวม iPhone  ที่มีขายหน้า Shop Apple 2025</t>
        </is>
      </c>
      <c r="B583" t="inlineStr">
        <is>
          <t>Sasithakan Sritonthip</t>
        </is>
      </c>
      <c r="C583" s="2">
        <v>46001</v>
      </c>
      <c r="D583" s="2">
        <v>46001</v>
      </c>
      <c r="E583" t="inlineStr">
        <is>
          <t>ปกติ</t>
        </is>
      </c>
      <c r="F583" s="3" t="str">
        <f>=HYPERLINK("https://youtu.be/QdLocx_qKj4?si=01tOdfF2ontx-JFE", "https://youtu.be/QdLocx_qKj4?si=01tOdfF2ontx-JFE")</f>
        <v>https://youtu.be/QdLocx_qKj4?si=01tOdfF2ontx-JFE</v>
      </c>
      <c r="G583"/>
      <c r="H583" t="inlineStr">
        <is>
          <t>Shorts</t>
        </is>
      </c>
      <c r="I583" t="inlineStr">
        <is>
          <t>งานประจำวัน</t>
        </is>
      </c>
      <c r="J583" t="inlineStr">
        <is>
          <t>Done</t>
        </is>
      </c>
      <c r="K583"/>
      <c r="L583" s="3"/>
      <c r="M583" t="inlineStr">
        <is>
          <t>1</t>
        </is>
      </c>
      <c r="N583" t="inlineStr">
        <is>
          <t>Apple</t>
        </is>
      </c>
      <c r="O583"/>
    </row>
    <row r="584" ht="12.75" customHeight="1">
      <c r="A584" t="inlineStr">
        <is>
          <t>iPhone 17 โทรศัพท์แห่งปีของ MKBHD</t>
        </is>
      </c>
      <c r="B584" t="inlineStr">
        <is>
          <t>Krongkwun  Rithiwong</t>
        </is>
      </c>
      <c r="C584" s="2">
        <v>46001</v>
      </c>
      <c r="D584" s="2">
        <v>46001</v>
      </c>
      <c r="E584" t="inlineStr">
        <is>
          <t>ปกติ</t>
        </is>
      </c>
      <c r="F584" s="3"/>
      <c r="G584"/>
      <c r="H584" t="inlineStr">
        <is>
          <t>Shorts</t>
        </is>
      </c>
      <c r="I584" t="inlineStr">
        <is>
          <t>งานประจำวัน</t>
        </is>
      </c>
      <c r="J584" t="inlineStr">
        <is>
          <t>Done</t>
        </is>
      </c>
      <c r="K584"/>
      <c r="L584" s="3"/>
      <c r="M584" t="inlineStr">
        <is>
          <t>1</t>
        </is>
      </c>
      <c r="N584" t="inlineStr">
        <is>
          <t>Apple</t>
        </is>
      </c>
      <c r="O584"/>
    </row>
    <row r="585" ht="12.75" customHeight="1">
      <c r="A585" t="inlineStr">
        <is>
          <t xml:space="preserve">ผู้ใช้ iPhone ในญี่ปุ่นส่งข้อความผ่านดาวเทียมได้แล้ว </t>
        </is>
      </c>
      <c r="B585" t="inlineStr">
        <is>
          <t>Nattida Suriyodara</t>
        </is>
      </c>
      <c r="C585" s="2">
        <v>46000</v>
      </c>
      <c r="D585" s="2">
        <v>46000</v>
      </c>
      <c r="E585"/>
      <c r="F585" s="3"/>
      <c r="G585"/>
      <c r="H585" t="inlineStr">
        <is>
          <t>Website, Pic Posts / Album</t>
        </is>
      </c>
      <c r="I585" t="inlineStr">
        <is>
          <t>งานประจำวัน</t>
        </is>
      </c>
      <c r="J585" t="inlineStr">
        <is>
          <t>Done</t>
        </is>
      </c>
      <c r="K585"/>
      <c r="L585" s="3"/>
      <c r="M585" t="inlineStr">
        <is>
          <t>1</t>
        </is>
      </c>
      <c r="N585" t="inlineStr">
        <is>
          <t>Apple</t>
        </is>
      </c>
      <c r="O585"/>
    </row>
    <row r="586" ht="12.75" customHeight="1">
      <c r="A586" t="inlineStr">
        <is>
          <t>Google AI Smart Glasses</t>
        </is>
      </c>
      <c r="B586" t="inlineStr">
        <is>
          <t>Sasithakan Sritonthip</t>
        </is>
      </c>
      <c r="C586" s="2">
        <v>46000</v>
      </c>
      <c r="D586" s="2">
        <v>46000</v>
      </c>
      <c r="E586" t="inlineStr">
        <is>
          <t>ปกติ</t>
        </is>
      </c>
      <c r="F586" s="3" t="str">
        <f>=HYPERLINK("https://www.macrumors.com/2025/12/08/google-ai-smart-glasses-2026/", "https://www.macrumors.com/2025/12/08/google-ai-smart-glasses-2026/")</f>
        <v>https://www.macrumors.com/2025/12/08/google-ai-smart-glasses-2026/</v>
      </c>
      <c r="G586"/>
      <c r="H586" t="inlineStr">
        <is>
          <t>Website</t>
        </is>
      </c>
      <c r="I586" t="inlineStr">
        <is>
          <t>งานประจำวัน</t>
        </is>
      </c>
      <c r="J586" t="inlineStr">
        <is>
          <t>Done</t>
        </is>
      </c>
      <c r="K586"/>
      <c r="L586" s="3" t="str">
        <f>=HYPERLINK("https://www.iphonemod.net/googles-first-ai-smart-glasses-coming-in-2026.html", "https://www.iphonemod.net/googles-first-ai-smart-glasses-coming-in-2026.html")</f>
        <v>https://www.iphonemod.net/googles-first-ai-smart-glasses-coming-in-2026.html</v>
      </c>
      <c r="M586" t="inlineStr">
        <is>
          <t>1</t>
        </is>
      </c>
      <c r="N586" t="inlineStr">
        <is>
          <t>Android, AI</t>
        </is>
      </c>
      <c r="O586"/>
    </row>
    <row r="587" ht="12.75" customHeight="1">
      <c r="A587" t="inlineStr">
        <is>
          <t>Google อธิบายวิธีป้องกันความปลอดภัยของ Gemini Agent สำหรับ Chrome Browser</t>
        </is>
      </c>
      <c r="B587" t="inlineStr">
        <is>
          <t>Sasithakan Sritonthip</t>
        </is>
      </c>
      <c r="C587" s="2">
        <v>46000</v>
      </c>
      <c r="D587" s="2">
        <v>46000</v>
      </c>
      <c r="E587" t="inlineStr">
        <is>
          <t>ปกติ</t>
        </is>
      </c>
      <c r="F587" s="3" t="str">
        <f>=HYPERLINK("https://9to5google.com/2025/12/08/gemini-chrome-agentic-security/", "https://9to5google.com/2025/12/08/gemini-chrome-agentic-security/")</f>
        <v>https://9to5google.com/2025/12/08/gemini-chrome-agentic-security/</v>
      </c>
      <c r="G587"/>
      <c r="H587" t="inlineStr">
        <is>
          <t>Website</t>
        </is>
      </c>
      <c r="I587" t="inlineStr">
        <is>
          <t>งานประจำวัน</t>
        </is>
      </c>
      <c r="J587" t="inlineStr">
        <is>
          <t>Done</t>
        </is>
      </c>
      <c r="K587"/>
      <c r="L587" s="3"/>
      <c r="M587" t="inlineStr">
        <is>
          <t>1</t>
        </is>
      </c>
      <c r="N587" t="inlineStr">
        <is>
          <t>Android, AI</t>
        </is>
      </c>
      <c r="O587"/>
    </row>
    <row r="588" ht="12.75" customHeight="1">
      <c r="A588" t="inlineStr">
        <is>
          <t>Apple เปิดตัวโฆษณา "Outrun" แสดงการใช้ Apple Pay หนีมอนสเตอร์</t>
        </is>
      </c>
      <c r="B588" t="inlineStr">
        <is>
          <t>Sasithakan Sritonthip</t>
        </is>
      </c>
      <c r="C588" s="2">
        <v>46000</v>
      </c>
      <c r="D588" s="2">
        <v>46000</v>
      </c>
      <c r="E588" t="inlineStr">
        <is>
          <t>ปกติ</t>
        </is>
      </c>
      <c r="F588" s="3" t="str">
        <f>=HYPERLINK("https://www.macrumors.com/2025/12/08/apple-ad-outrun-apple-pay/", "https://www.macrumors.com/2025/12/08/apple-ad-outrun-apple-pay/")</f>
        <v>https://www.macrumors.com/2025/12/08/apple-ad-outrun-apple-pay/</v>
      </c>
      <c r="G588"/>
      <c r="H588" t="inlineStr">
        <is>
          <t>Website</t>
        </is>
      </c>
      <c r="I588" t="inlineStr">
        <is>
          <t>งานประจำวัน</t>
        </is>
      </c>
      <c r="J588" t="inlineStr">
        <is>
          <t>Done</t>
        </is>
      </c>
      <c r="K588"/>
      <c r="L588" s="3" t="str">
        <f>=HYPERLINK("https://www.iphonemod.net/apples-outrun-ad-features-apple-pay-saving-the-day-in-monster-attack.html", "https://www.iphonemod.net/apples-outrun-ad-features-apple-pay-saving-the-day-in-monster-attack.html")</f>
        <v>https://www.iphonemod.net/apples-outrun-ad-features-apple-pay-saving-the-day-in-monster-attack.html</v>
      </c>
      <c r="M588" t="inlineStr">
        <is>
          <t>1</t>
        </is>
      </c>
      <c r="N588" t="inlineStr">
        <is>
          <t>Apple</t>
        </is>
      </c>
      <c r="O588"/>
    </row>
    <row r="589" ht="12.75" customHeight="1">
      <c r="A589" t="inlineStr">
        <is>
          <t>แนะนำเคส iPhone 17</t>
        </is>
      </c>
      <c r="B589" t="inlineStr">
        <is>
          <t>Nattida Suriyodara</t>
        </is>
      </c>
      <c r="C589" s="2">
        <v>46000</v>
      </c>
      <c r="D589" s="2">
        <v>46000</v>
      </c>
      <c r="E589"/>
      <c r="F589" s="3"/>
      <c r="G589"/>
      <c r="H589" t="inlineStr">
        <is>
          <t>Shorts</t>
        </is>
      </c>
      <c r="I589" t="inlineStr">
        <is>
          <t>งานประจำวัน</t>
        </is>
      </c>
      <c r="J589" t="inlineStr">
        <is>
          <t>Done</t>
        </is>
      </c>
      <c r="K589"/>
      <c r="L589" s="3"/>
      <c r="M589" t="inlineStr">
        <is>
          <t>1</t>
        </is>
      </c>
      <c r="N589" t="inlineStr">
        <is>
          <t>Apple</t>
        </is>
      </c>
      <c r="O589"/>
    </row>
    <row r="590" ht="12.75" customHeight="1">
      <c r="A590" t="inlineStr">
        <is>
          <t>Timeline – iPad รุ่นล่าสุดตัวไหน มีกี่รุ่น (อัปเดต ธ.ค. 2025)</t>
        </is>
      </c>
      <c r="B590" t="inlineStr">
        <is>
          <t>Sasithakan Sritonthip</t>
        </is>
      </c>
      <c r="C590" s="2">
        <v>46000</v>
      </c>
      <c r="D590" s="2">
        <v>46000</v>
      </c>
      <c r="E590" t="inlineStr">
        <is>
          <t>ด่วน!</t>
        </is>
      </c>
      <c r="F590" s="3"/>
      <c r="G590"/>
      <c r="H590" t="inlineStr">
        <is>
          <t>Website</t>
        </is>
      </c>
      <c r="I590" t="inlineStr">
        <is>
          <t>งานประจำวัน</t>
        </is>
      </c>
      <c r="J590" t="inlineStr">
        <is>
          <t>Done</t>
        </is>
      </c>
      <c r="K590"/>
      <c r="L590" s="3" t="str">
        <f>=HYPERLINK("https://www.iphonemod.net/timeline-ipad-update-dec-2025.html", "https://www.iphonemod.net/timeline-ipad-update-dec-2025.html")</f>
        <v>https://www.iphonemod.net/timeline-ipad-update-dec-2025.html</v>
      </c>
      <c r="M590" t="inlineStr">
        <is>
          <t>1</t>
        </is>
      </c>
      <c r="N590" t="inlineStr">
        <is>
          <t>Apple</t>
        </is>
      </c>
      <c r="O590"/>
    </row>
    <row r="591" ht="12.75" customHeight="1">
      <c r="A591" t="inlineStr">
        <is>
          <t>ลือ iPhone 18 Pro ซ่อนกล้องใต้จอ</t>
        </is>
      </c>
      <c r="B591" t="inlineStr">
        <is>
          <t>Krongkwun  Rithiwong</t>
        </is>
      </c>
      <c r="C591" s="2">
        <v>46000</v>
      </c>
      <c r="D591" s="2">
        <v>46000</v>
      </c>
      <c r="E591" t="inlineStr">
        <is>
          <t>ปกติ</t>
        </is>
      </c>
      <c r="F591" s="3"/>
      <c r="G591"/>
      <c r="H591" t="inlineStr">
        <is>
          <t>Shorts</t>
        </is>
      </c>
      <c r="I591" t="inlineStr">
        <is>
          <t>งานประจำวัน</t>
        </is>
      </c>
      <c r="J591" t="inlineStr">
        <is>
          <t>Done</t>
        </is>
      </c>
      <c r="K591"/>
      <c r="L591" s="3"/>
      <c r="M591" t="inlineStr">
        <is>
          <t>1</t>
        </is>
      </c>
      <c r="N591" t="inlineStr">
        <is>
          <t>Apple</t>
        </is>
      </c>
      <c r="O591"/>
    </row>
    <row r="592" ht="12.75" customHeight="1">
      <c r="A592" t="inlineStr">
        <is>
          <t>Apple อาจเปิดใช้งาน Always-On GPS ในอินเดีย</t>
        </is>
      </c>
      <c r="B592" t="inlineStr">
        <is>
          <t>Nattida Suriyodara</t>
        </is>
      </c>
      <c r="C592" s="2">
        <v>45999</v>
      </c>
      <c r="D592" s="2">
        <v>45999</v>
      </c>
      <c r="E592"/>
      <c r="F592" s="3"/>
      <c r="G592"/>
      <c r="H592" t="inlineStr">
        <is>
          <t>Website</t>
        </is>
      </c>
      <c r="I592" t="inlineStr">
        <is>
          <t>งานประจำวัน</t>
        </is>
      </c>
      <c r="J592" t="inlineStr">
        <is>
          <t>Done</t>
        </is>
      </c>
      <c r="K592"/>
      <c r="L592" s="3"/>
      <c r="M592" t="inlineStr">
        <is>
          <t>1</t>
        </is>
      </c>
      <c r="N592" t="inlineStr">
        <is>
          <t>Apple</t>
        </is>
      </c>
      <c r="O592"/>
    </row>
    <row r="593" ht="12.75" customHeight="1">
      <c r="A593" t="inlineStr">
        <is>
          <t xml:space="preserve">Samsung อาจใช้ Exynos 2600 กับ Galaxy S26 เฉพาะในเกาหลีใต้ </t>
        </is>
      </c>
      <c r="B593" t="inlineStr">
        <is>
          <t>Saktaphat Kordjan</t>
        </is>
      </c>
      <c r="C593" s="2">
        <v>45999</v>
      </c>
      <c r="D593" s="2">
        <v>45999</v>
      </c>
      <c r="E593"/>
      <c r="F593" s="3"/>
      <c r="G593"/>
      <c r="H593" t="inlineStr">
        <is>
          <t>Website</t>
        </is>
      </c>
      <c r="I593" t="inlineStr">
        <is>
          <t>งานประจำวัน</t>
        </is>
      </c>
      <c r="J593" t="inlineStr">
        <is>
          <t>Done</t>
        </is>
      </c>
      <c r="K593"/>
      <c r="L593" s="3"/>
      <c r="M593" t="inlineStr">
        <is>
          <t>1</t>
        </is>
      </c>
      <c r="N593" t="inlineStr">
        <is>
          <t>Android</t>
        </is>
      </c>
      <c r="O593"/>
    </row>
    <row r="594" ht="12.75" customHeight="1">
      <c r="A594" t="inlineStr">
        <is>
          <t xml:space="preserve">การเปิดตัวหุ่นยนต์ Ballie จาก Samsung ถูกเลื่อนออกไป </t>
        </is>
      </c>
      <c r="B594" t="inlineStr">
        <is>
          <t>Saktaphat Kordjan</t>
        </is>
      </c>
      <c r="C594" s="2">
        <v>45999</v>
      </c>
      <c r="D594" s="2">
        <v>45999</v>
      </c>
      <c r="E594"/>
      <c r="F594" s="3"/>
      <c r="G594"/>
      <c r="H594" t="inlineStr">
        <is>
          <t>Website, Pic Posts / Album</t>
        </is>
      </c>
      <c r="I594" t="inlineStr">
        <is>
          <t>งานประจำวัน</t>
        </is>
      </c>
      <c r="J594" t="inlineStr">
        <is>
          <t>Done</t>
        </is>
      </c>
      <c r="K594"/>
      <c r="L594" s="3"/>
      <c r="M594" t="inlineStr">
        <is>
          <t>1</t>
        </is>
      </c>
      <c r="N594" t="inlineStr">
        <is>
          <t>Android</t>
        </is>
      </c>
      <c r="O594"/>
    </row>
    <row r="595" ht="12.75" customHeight="1">
      <c r="A595" t="inlineStr">
        <is>
          <t>Alan Dye ย้ายไป Meta</t>
        </is>
      </c>
      <c r="B595" t="inlineStr">
        <is>
          <t>Nattida Suriyodara,Sasithakan Sritonthip</t>
        </is>
      </c>
      <c r="C595" s="2">
        <v>45999</v>
      </c>
      <c r="D595" s="2">
        <v>45999</v>
      </c>
      <c r="E595" t="inlineStr">
        <is>
          <t>ปกติ</t>
        </is>
      </c>
      <c r="F595" s="3" t="str">
        <f>=HYPERLINK("https://www.iphonemod.net/apple-ui-design-chief-alan-dye-leaving-for-meta.html", "https://www.iphonemod.net/apple-ui-design-chief-alan-dye-leaving-for-meta.html")</f>
        <v>https://www.iphonemod.net/apple-ui-design-chief-alan-dye-leaving-for-meta.html</v>
      </c>
      <c r="G595"/>
      <c r="H595" t="inlineStr">
        <is>
          <t>Shorts</t>
        </is>
      </c>
      <c r="I595" t="inlineStr">
        <is>
          <t>งานประจำวัน</t>
        </is>
      </c>
      <c r="J595" t="inlineStr">
        <is>
          <t>Done</t>
        </is>
      </c>
      <c r="K595"/>
      <c r="L595" s="3"/>
      <c r="M595" t="inlineStr">
        <is>
          <t>1</t>
        </is>
      </c>
      <c r="N595" t="inlineStr">
        <is>
          <t>Apple</t>
        </is>
      </c>
      <c r="O595"/>
    </row>
    <row r="596" ht="12.75" customHeight="1">
      <c r="A596" t="inlineStr">
        <is>
          <t xml:space="preserve">12:12 ทำไม Apple Watch SE 3 ถึงน่าซื้อ </t>
        </is>
      </c>
      <c r="B596" t="inlineStr">
        <is>
          <t>Nattida Suriyodara</t>
        </is>
      </c>
      <c r="C596" s="2">
        <v>45999</v>
      </c>
      <c r="D596" s="2">
        <v>45999</v>
      </c>
      <c r="E596"/>
      <c r="F596" s="3"/>
      <c r="G596"/>
      <c r="H596" t="inlineStr">
        <is>
          <t>Shorts</t>
        </is>
      </c>
      <c r="I596" t="inlineStr">
        <is>
          <t>งานประจำวัน</t>
        </is>
      </c>
      <c r="J596" t="inlineStr">
        <is>
          <t>Done</t>
        </is>
      </c>
      <c r="K596"/>
      <c r="L596" s="3"/>
      <c r="M596" t="inlineStr">
        <is>
          <t>1</t>
        </is>
      </c>
      <c r="N596" t="inlineStr">
        <is>
          <t>Apple</t>
        </is>
      </c>
      <c r="O596"/>
    </row>
    <row r="597" ht="12.75" customHeight="1">
      <c r="A597" t="inlineStr">
        <is>
          <t>vivo S50 และ S50 Pro mini เตรียมเปิดตัว 15 ธ.ค. นี้</t>
        </is>
      </c>
      <c r="B597" t="inlineStr">
        <is>
          <t>Saktaphat Kordjan</t>
        </is>
      </c>
      <c r="C597" s="2">
        <v>45999</v>
      </c>
      <c r="D597" s="2">
        <v>45999</v>
      </c>
      <c r="E597"/>
      <c r="F597" s="3"/>
      <c r="G597"/>
      <c r="H597" t="inlineStr">
        <is>
          <t>Website</t>
        </is>
      </c>
      <c r="I597" t="inlineStr">
        <is>
          <t>งานประจำวัน</t>
        </is>
      </c>
      <c r="J597" t="inlineStr">
        <is>
          <t>Done</t>
        </is>
      </c>
      <c r="K597"/>
      <c r="L597" s="3"/>
      <c r="M597" t="inlineStr">
        <is>
          <t>1</t>
        </is>
      </c>
      <c r="N597" t="inlineStr">
        <is>
          <t>Android</t>
        </is>
      </c>
      <c r="O597"/>
    </row>
    <row r="598" ht="12.75" customHeight="1">
      <c r="A598" t="inlineStr">
        <is>
          <t>หลุดภาพเรนเดอร์ nubia Flip3 และ nubia Fold</t>
        </is>
      </c>
      <c r="B598" t="inlineStr">
        <is>
          <t>Saktaphat Kordjan</t>
        </is>
      </c>
      <c r="C598" s="2">
        <v>45999</v>
      </c>
      <c r="D598" s="2">
        <v>45987</v>
      </c>
      <c r="E598"/>
      <c r="F598" s="3"/>
      <c r="G598"/>
      <c r="H598" t="inlineStr">
        <is>
          <t>Website</t>
        </is>
      </c>
      <c r="I598" t="inlineStr">
        <is>
          <t>งานประจำวัน</t>
        </is>
      </c>
      <c r="J598" t="inlineStr">
        <is>
          <t>Done</t>
        </is>
      </c>
      <c r="K598"/>
      <c r="L598" s="3"/>
      <c r="M598" t="inlineStr">
        <is>
          <t>1</t>
        </is>
      </c>
      <c r="N598" t="inlineStr">
        <is>
          <t>Android</t>
        </is>
      </c>
      <c r="O598"/>
    </row>
    <row r="599" ht="12.75" customHeight="1">
      <c r="A599" t="inlineStr">
        <is>
          <t>POCO F8 Ultra Full Review</t>
        </is>
      </c>
      <c r="B599" t="inlineStr">
        <is>
          <t>Saktaphat Kordjan</t>
        </is>
      </c>
      <c r="C599" s="2">
        <v>45999</v>
      </c>
      <c r="D599" s="2">
        <v>45999</v>
      </c>
      <c r="E599"/>
      <c r="F599" s="3"/>
      <c r="G599"/>
      <c r="H599" t="inlineStr">
        <is>
          <t>YouTube</t>
        </is>
      </c>
      <c r="I599" t="inlineStr">
        <is>
          <t>เสนอไอเดีย, งานลูกค้า</t>
        </is>
      </c>
      <c r="J599" t="inlineStr">
        <is>
          <t>Done</t>
        </is>
      </c>
      <c r="K599"/>
      <c r="L599" s="3"/>
      <c r="M599" t="inlineStr">
        <is>
          <t>1</t>
        </is>
      </c>
      <c r="N599" t="inlineStr">
        <is>
          <t>Android</t>
        </is>
      </c>
      <c r="O599"/>
    </row>
    <row r="600" ht="12.75" customHeight="1">
      <c r="A600" t="inlineStr">
        <is>
          <t xml:space="preserve">สอนใช้งาน Good Lock </t>
        </is>
      </c>
      <c r="B600" t="inlineStr">
        <is>
          <t>Saktaphat Kordjan</t>
        </is>
      </c>
      <c r="C600" s="2">
        <v>45999</v>
      </c>
      <c r="D600" s="2">
        <v>45999</v>
      </c>
      <c r="E600"/>
      <c r="F600" s="3"/>
      <c r="G600"/>
      <c r="H600" t="inlineStr">
        <is>
          <t>YouTube</t>
        </is>
      </c>
      <c r="I600" t="inlineStr">
        <is>
          <t>เสนอไอเดีย</t>
        </is>
      </c>
      <c r="J600" t="inlineStr">
        <is>
          <t>Done</t>
        </is>
      </c>
      <c r="K600"/>
      <c r="L600" s="3"/>
      <c r="M600" t="inlineStr">
        <is>
          <t>1</t>
        </is>
      </c>
      <c r="N600" t="inlineStr">
        <is>
          <t>Android</t>
        </is>
      </c>
      <c r="O600"/>
    </row>
    <row r="601" ht="12.75" customHeight="1">
      <c r="A601" t="inlineStr">
        <is>
          <t xml:space="preserve">สอนตกแต่ง สร้างธีม Samsung ต้อนรับ Chrismas 2025 </t>
        </is>
      </c>
      <c r="B601" t="inlineStr">
        <is>
          <t>Saktaphat Kordjan</t>
        </is>
      </c>
      <c r="C601" s="2">
        <v>45999</v>
      </c>
      <c r="D601" s="2">
        <v>45999</v>
      </c>
      <c r="E601"/>
      <c r="F601" s="3"/>
      <c r="G601"/>
      <c r="H601" t="inlineStr">
        <is>
          <t>Pic Posts / Album, Website</t>
        </is>
      </c>
      <c r="I601" t="inlineStr">
        <is>
          <t>เสนอไอเดีย</t>
        </is>
      </c>
      <c r="J601" t="inlineStr">
        <is>
          <t>Done</t>
        </is>
      </c>
      <c r="K601"/>
      <c r="L601" s="3"/>
      <c r="M601" t="inlineStr">
        <is>
          <t>1</t>
        </is>
      </c>
      <c r="N601" t="inlineStr">
        <is>
          <t>Android</t>
        </is>
      </c>
      <c r="O601"/>
    </row>
    <row r="602" ht="12.75" customHeight="1">
      <c r="A602" t="inlineStr">
        <is>
          <t>Netflix x Warner Bros.</t>
        </is>
      </c>
      <c r="B602" t="inlineStr">
        <is>
          <t>Krongkwun  Rithiwong,Sasithakan Sritonthip</t>
        </is>
      </c>
      <c r="C602" s="2">
        <v>45999</v>
      </c>
      <c r="D602" s="2">
        <v>45999</v>
      </c>
      <c r="E602" t="inlineStr">
        <is>
          <t>ปกติ</t>
        </is>
      </c>
      <c r="F602" s="3" t="str">
        <f>=HYPERLINK("https://www.facebook.com/share/p/1AKargX8Q2/", "https://www.facebook.com/share/p/1AKargX8Q2/")</f>
        <v>https://www.facebook.com/share/p/1AKargX8Q2/</v>
      </c>
      <c r="G602"/>
      <c r="H602" t="inlineStr">
        <is>
          <t>Shorts</t>
        </is>
      </c>
      <c r="I602" t="inlineStr">
        <is>
          <t>งานประจำวัน</t>
        </is>
      </c>
      <c r="J602" t="inlineStr">
        <is>
          <t>Done</t>
        </is>
      </c>
      <c r="K602"/>
      <c r="L602" s="3"/>
      <c r="M602" t="inlineStr">
        <is>
          <t>1</t>
        </is>
      </c>
      <c r="N602" t="inlineStr">
        <is>
          <t>ทั่วไป</t>
        </is>
      </c>
      <c r="O602"/>
    </row>
    <row r="603" ht="12.75" customHeight="1">
      <c r="A603" t="inlineStr">
        <is>
          <t xml:space="preserve">12.12 | Plaud Notepin </t>
        </is>
      </c>
      <c r="B603" t="inlineStr">
        <is>
          <t>Krongkwun  Rithiwong</t>
        </is>
      </c>
      <c r="C603" s="2">
        <v>45999</v>
      </c>
      <c r="D603" s="2">
        <v>45999</v>
      </c>
      <c r="E603" t="inlineStr">
        <is>
          <t>ปกติ</t>
        </is>
      </c>
      <c r="F603" s="3"/>
      <c r="G603"/>
      <c r="H603" t="inlineStr">
        <is>
          <t>Shorts</t>
        </is>
      </c>
      <c r="I603" t="inlineStr">
        <is>
          <t>งานประจำวัน</t>
        </is>
      </c>
      <c r="J603" t="inlineStr">
        <is>
          <t>Done</t>
        </is>
      </c>
      <c r="K603"/>
      <c r="L603" s="3"/>
      <c r="M603" t="inlineStr">
        <is>
          <t>1</t>
        </is>
      </c>
      <c r="N603" t="inlineStr">
        <is>
          <t>AI, Tech</t>
        </is>
      </c>
      <c r="O603"/>
    </row>
    <row r="604" ht="12.75" customHeight="1">
      <c r="A604" t="inlineStr">
        <is>
          <t>Johny Srouji อาจลาออก!</t>
        </is>
      </c>
      <c r="B604" t="inlineStr">
        <is>
          <t>Krongkwun  Rithiwong</t>
        </is>
      </c>
      <c r="C604" s="2">
        <v>45999</v>
      </c>
      <c r="D604" s="2">
        <v>45999</v>
      </c>
      <c r="E604" t="inlineStr">
        <is>
          <t>ปกติ</t>
        </is>
      </c>
      <c r="F604" s="3"/>
      <c r="G604"/>
      <c r="H604" t="inlineStr">
        <is>
          <t>Shorts</t>
        </is>
      </c>
      <c r="I604" t="inlineStr">
        <is>
          <t>งานประจำวัน</t>
        </is>
      </c>
      <c r="J604" t="inlineStr">
        <is>
          <t>Done</t>
        </is>
      </c>
      <c r="K604"/>
      <c r="L604" s="3"/>
      <c r="M604" t="inlineStr">
        <is>
          <t>1</t>
        </is>
      </c>
      <c r="N604" t="inlineStr">
        <is>
          <t>Apple</t>
        </is>
      </c>
      <c r="O604"/>
    </row>
    <row r="605" ht="12.75" customHeight="1">
      <c r="A605" t="inlineStr">
        <is>
          <t>Apple Music Replay 2025</t>
        </is>
      </c>
      <c r="B605" t="inlineStr">
        <is>
          <t>Sasithakan Sritonthip</t>
        </is>
      </c>
      <c r="C605" s="2">
        <v>45996</v>
      </c>
      <c r="D605" s="2">
        <v>45996</v>
      </c>
      <c r="E605" t="inlineStr">
        <is>
          <t>ปกติ</t>
        </is>
      </c>
      <c r="F605" s="3"/>
      <c r="G605"/>
      <c r="H605" t="inlineStr">
        <is>
          <t>Website</t>
        </is>
      </c>
      <c r="I605" t="inlineStr">
        <is>
          <t>งานประจำวัน</t>
        </is>
      </c>
      <c r="J605" t="inlineStr">
        <is>
          <t>Done</t>
        </is>
      </c>
      <c r="K605" t="inlineStr">
        <is>
          <t>Fwd email sasi</t>
        </is>
      </c>
      <c r="L605" s="3" t="str">
        <f>=HYPERLINK("https://www.iphonemod.net/apple-music-replay-25-celebrating-this-years-musical-achievements.html", "https://www.iphonemod.net/apple-music-replay-25-celebrating-this-years-musical-achievements.html")</f>
        <v>https://www.iphonemod.net/apple-music-replay-25-celebrating-this-years-musical-achievements.html</v>
      </c>
      <c r="M605" t="inlineStr">
        <is>
          <t>1</t>
        </is>
      </c>
      <c r="N605" t="inlineStr">
        <is>
          <t>Apple</t>
        </is>
      </c>
      <c r="O605"/>
    </row>
    <row r="606" ht="12.75" customHeight="1">
      <c r="A606" t="inlineStr">
        <is>
          <t>Apple เปิดตัวผู้ชนะรางวัล App Store Award ประจำปี 2025</t>
        </is>
      </c>
      <c r="B606" t="inlineStr">
        <is>
          <t>Nattida Suriyodara</t>
        </is>
      </c>
      <c r="C606" s="2">
        <v>45996</v>
      </c>
      <c r="D606" s="2">
        <v>45996</v>
      </c>
      <c r="E606"/>
      <c r="F606" s="3"/>
      <c r="G606"/>
      <c r="H606" t="inlineStr">
        <is>
          <t>Website</t>
        </is>
      </c>
      <c r="I606" t="inlineStr">
        <is>
          <t>งานลูกค้า, งานประจำวัน</t>
        </is>
      </c>
      <c r="J606" t="inlineStr">
        <is>
          <t>Done</t>
        </is>
      </c>
      <c r="K606"/>
      <c r="L606" s="3"/>
      <c r="M606" t="inlineStr">
        <is>
          <t>1</t>
        </is>
      </c>
      <c r="N606" t="inlineStr">
        <is>
          <t>Apple</t>
        </is>
      </c>
      <c r="O606"/>
    </row>
    <row r="607" ht="12.75" customHeight="1">
      <c r="A607" t="inlineStr">
        <is>
          <t>รัสเซียแบนแอป FaceTime</t>
        </is>
      </c>
      <c r="B607" t="inlineStr">
        <is>
          <t>Sasithakan Sritonthip</t>
        </is>
      </c>
      <c r="C607" s="2">
        <v>45996</v>
      </c>
      <c r="D607" s="2">
        <v>45996</v>
      </c>
      <c r="E607" t="inlineStr">
        <is>
          <t>ปกติ</t>
        </is>
      </c>
      <c r="F607" s="3" t="str">
        <f>=HYPERLINK("https://www.macrumors.com/2025/12/04/russia-blocks-facetime/", "https://www.macrumors.com/2025/12/04/russia-blocks-facetime/")</f>
        <v>https://www.macrumors.com/2025/12/04/russia-blocks-facetime/</v>
      </c>
      <c r="G607"/>
      <c r="H607" t="inlineStr">
        <is>
          <t>Website</t>
        </is>
      </c>
      <c r="I607" t="inlineStr">
        <is>
          <t>งานประจำวัน</t>
        </is>
      </c>
      <c r="J607" t="inlineStr">
        <is>
          <t>Done</t>
        </is>
      </c>
      <c r="K607"/>
      <c r="L607" s="3" t="str">
        <f>=HYPERLINK("https://www.iphonemod.net/russia-blocks-apples-facetime-amid-crackdown-on-encrypted-apps.html", "https://www.iphonemod.net/russia-blocks-apples-facetime-amid-crackdown-on-encrypted-apps.html")</f>
        <v>https://www.iphonemod.net/russia-blocks-apples-facetime-amid-crackdown-on-encrypted-apps.html</v>
      </c>
      <c r="M607" t="inlineStr">
        <is>
          <t>1</t>
        </is>
      </c>
      <c r="N607" t="inlineStr">
        <is>
          <t>Apple</t>
        </is>
      </c>
      <c r="O607"/>
    </row>
    <row r="608" ht="12.75" customHeight="1">
      <c r="A608" t="inlineStr">
        <is>
          <t>John Gruber วิจารณ์หนักต่อการลาออกของหัวหน้าฝ่ายออกแบบซอฟต์แวร์ Apple</t>
        </is>
      </c>
      <c r="B608" t="inlineStr">
        <is>
          <t>Nattida Suriyodara</t>
        </is>
      </c>
      <c r="C608" s="2">
        <v>45996</v>
      </c>
      <c r="D608" s="2">
        <v>45996</v>
      </c>
      <c r="E608"/>
      <c r="F608" s="3"/>
      <c r="G608"/>
      <c r="H608" t="inlineStr">
        <is>
          <t>Website</t>
        </is>
      </c>
      <c r="I608" t="inlineStr">
        <is>
          <t>งานประจำวัน</t>
        </is>
      </c>
      <c r="J608" t="inlineStr">
        <is>
          <t>Done</t>
        </is>
      </c>
      <c r="K608"/>
      <c r="L608" s="3"/>
      <c r="M608" t="inlineStr">
        <is>
          <t>1</t>
        </is>
      </c>
      <c r="N608" t="inlineStr">
        <is>
          <t>Apple</t>
        </is>
      </c>
      <c r="O608"/>
    </row>
    <row r="609" ht="12.75" customHeight="1">
      <c r="A609" t="inlineStr">
        <is>
          <t>NotebookLM เพิ่มกล้องถ่ายเพื่อใช้ภาพเป็นแหล่งข้อมูล</t>
        </is>
      </c>
      <c r="B609" t="inlineStr">
        <is>
          <t>Sasithakan Sritonthip</t>
        </is>
      </c>
      <c r="C609" s="2">
        <v>45996</v>
      </c>
      <c r="D609" s="2">
        <v>45996</v>
      </c>
      <c r="E609" t="inlineStr">
        <is>
          <t>ปกติ</t>
        </is>
      </c>
      <c r="F609" s="3" t="str">
        <f>=HYPERLINK("https://9to5google.com/2025/12/04/notebooklm-camera-image-sources/", "https://9to5google.com/2025/12/04/notebooklm-camera-image-sources/")</f>
        <v>https://9to5google.com/2025/12/04/notebooklm-camera-image-sources/</v>
      </c>
      <c r="G609"/>
      <c r="H609" t="inlineStr">
        <is>
          <t>Website</t>
        </is>
      </c>
      <c r="I609" t="inlineStr">
        <is>
          <t>งานประจำวัน</t>
        </is>
      </c>
      <c r="J609" t="inlineStr">
        <is>
          <t>Done</t>
        </is>
      </c>
      <c r="K609"/>
      <c r="L609" s="3" t="str">
        <f>=HYPERLINK("https://www.iphonemod.net/notebooklm-app-adds-built-in-camera-for-image-sources.html", "https://www.iphonemod.net/notebooklm-app-adds-built-in-camera-for-image-sources.html")</f>
        <v>https://www.iphonemod.net/notebooklm-app-adds-built-in-camera-for-image-sources.html</v>
      </c>
      <c r="M609" t="inlineStr">
        <is>
          <t>1</t>
        </is>
      </c>
      <c r="N609" t="inlineStr">
        <is>
          <t>AI</t>
        </is>
      </c>
      <c r="O609"/>
    </row>
    <row r="610" ht="12.75" customHeight="1">
      <c r="A610" t="inlineStr">
        <is>
          <t>12.12 | หัวปากา Apple หักทำยังไง</t>
        </is>
      </c>
      <c r="B610" t="inlineStr">
        <is>
          <t>Krongkwun  Rithiwong</t>
        </is>
      </c>
      <c r="C610" s="2">
        <v>45996</v>
      </c>
      <c r="D610" s="2">
        <v>45996</v>
      </c>
      <c r="E610" t="inlineStr">
        <is>
          <t>ปกติ</t>
        </is>
      </c>
      <c r="F610" s="3"/>
      <c r="G610"/>
      <c r="H610" t="inlineStr">
        <is>
          <t>Shorts</t>
        </is>
      </c>
      <c r="I610" t="inlineStr">
        <is>
          <t>งานประจำวัน</t>
        </is>
      </c>
      <c r="J610" t="inlineStr">
        <is>
          <t>Done</t>
        </is>
      </c>
      <c r="K610"/>
      <c r="L610" s="3"/>
      <c r="M610" t="inlineStr">
        <is>
          <t>1</t>
        </is>
      </c>
      <c r="N610" t="inlineStr">
        <is>
          <t>Apple</t>
        </is>
      </c>
      <c r="O610"/>
    </row>
    <row r="611" ht="12.75" customHeight="1">
      <c r="A611" t="inlineStr">
        <is>
          <t xml:space="preserve">ฟีเจอร์แจ้งเตือนภาวะความดันโลหิตสูง บน Apple Watch ใช้ในไทยได้แล้ว! </t>
        </is>
      </c>
      <c r="B611" t="inlineStr">
        <is>
          <t>Nattida Suriyodara,Sasithakan Sritonthip</t>
        </is>
      </c>
      <c r="C611" s="2">
        <v>45995</v>
      </c>
      <c r="D611" s="2">
        <v>45995</v>
      </c>
      <c r="E611"/>
      <c r="F611" s="3"/>
      <c r="G611"/>
      <c r="H611" t="inlineStr">
        <is>
          <t>Shorts</t>
        </is>
      </c>
      <c r="I611" t="inlineStr">
        <is>
          <t>งานประจำวัน</t>
        </is>
      </c>
      <c r="J611" t="inlineStr">
        <is>
          <t>Done</t>
        </is>
      </c>
      <c r="K611"/>
      <c r="L611" s="3"/>
      <c r="M611" t="inlineStr">
        <is>
          <t>1</t>
        </is>
      </c>
      <c r="N611" t="inlineStr">
        <is>
          <t>Apple</t>
        </is>
      </c>
      <c r="O611"/>
    </row>
    <row r="612" ht="12.75" customHeight="1">
      <c r="A612" t="inlineStr">
        <is>
          <t>Apple ดันผู้ใช้ iPhone ที่ใช้ iOS 18 ให้อัปเกรดเป็น iOS 26</t>
        </is>
      </c>
      <c r="B612" t="inlineStr">
        <is>
          <t>Thitirath Kinaret,Sasithakan Sritonthip</t>
        </is>
      </c>
      <c r="C612" s="2">
        <v>45995</v>
      </c>
      <c r="D612" s="2">
        <v>45995</v>
      </c>
      <c r="E612" t="inlineStr">
        <is>
          <t>ปกติ</t>
        </is>
      </c>
      <c r="F612" s="3" t="str">
        <f>=HYPERLINK("https://www.iphonemod.net/apple-pushes-iphone-users-still-on-ios-18-to-upgrade-to-ios-26.html", "https://www.iphonemod.net/apple-pushes-iphone-users-still-on-ios-18-to-upgrade-to-ios-26.html")</f>
        <v>https://www.iphonemod.net/apple-pushes-iphone-users-still-on-ios-18-to-upgrade-to-ios-26.html</v>
      </c>
      <c r="G612"/>
      <c r="H612" t="inlineStr">
        <is>
          <t>Website</t>
        </is>
      </c>
      <c r="I612" t="inlineStr">
        <is>
          <t>งานประจำวัน</t>
        </is>
      </c>
      <c r="J612" t="inlineStr">
        <is>
          <t>Done</t>
        </is>
      </c>
      <c r="K612"/>
      <c r="L612" s="3"/>
      <c r="M612" t="inlineStr">
        <is>
          <t>1</t>
        </is>
      </c>
      <c r="N612" t="inlineStr">
        <is>
          <t>Apple</t>
        </is>
      </c>
      <c r="O612"/>
    </row>
    <row r="613" ht="12.75" customHeight="1">
      <c r="A613" t="inlineStr">
        <is>
          <t>Apple Pay มอบส่วนลด $15 เมื่อซื้อสินค้าจาก Etsy มูลค่า $75 ขึ้นไป</t>
        </is>
      </c>
      <c r="B613" t="inlineStr">
        <is>
          <t>Sasithakan Sritonthip</t>
        </is>
      </c>
      <c r="C613" s="2">
        <v>45995</v>
      </c>
      <c r="D613" s="2">
        <v>45995</v>
      </c>
      <c r="E613" t="inlineStr">
        <is>
          <t>ปกติ</t>
        </is>
      </c>
      <c r="F613" s="3" t="str">
        <f>=HYPERLINK("https://www.macrumors.com/2025/12/03/apple-pay-promo-etsy/", "https://www.macrumors.com/2025/12/03/apple-pay-promo-etsy/")</f>
        <v>https://www.macrumors.com/2025/12/03/apple-pay-promo-etsy/</v>
      </c>
      <c r="G613"/>
      <c r="H613" t="inlineStr">
        <is>
          <t>Website</t>
        </is>
      </c>
      <c r="I613" t="inlineStr">
        <is>
          <t>งานประจำวัน</t>
        </is>
      </c>
      <c r="J613" t="inlineStr">
        <is>
          <t>Done</t>
        </is>
      </c>
      <c r="K613"/>
      <c r="L613" s="3"/>
      <c r="M613" t="inlineStr">
        <is>
          <t>1</t>
        </is>
      </c>
      <c r="N613" t="inlineStr">
        <is>
          <t>Apple</t>
        </is>
      </c>
      <c r="O613"/>
    </row>
    <row r="614" ht="12.75" customHeight="1">
      <c r="A614" t="inlineStr">
        <is>
          <t>Apple ปรับปรุงฟีเจอร์ "แก้เมารถ" Vehicle Motion Cues ให้ดีขึ้น บน iPhone ที่ติดตั้ง iOS 26</t>
        </is>
      </c>
      <c r="B614" t="inlineStr">
        <is>
          <t>Sasithakan Sritonthip</t>
        </is>
      </c>
      <c r="C614" s="2">
        <v>45995</v>
      </c>
      <c r="D614" s="2">
        <v>45995</v>
      </c>
      <c r="E614" t="inlineStr">
        <is>
          <t>ปกติ</t>
        </is>
      </c>
      <c r="F614" s="3" t="str">
        <f>=HYPERLINK("https://www.iphonemod.net/this-hidden-vehicle-motion-cues-adjustment-in-ios-26-solved-my-motion-sickness-issues.html", "https://www.iphonemod.net/this-hidden-vehicle-motion-cues-adjustment-in-ios-26-solved-my-motion-sickness-issues.html")</f>
        <v>https://www.iphonemod.net/this-hidden-vehicle-motion-cues-adjustment-in-ios-26-solved-my-motion-sickness-issues.html</v>
      </c>
      <c r="G614"/>
      <c r="H614" t="inlineStr">
        <is>
          <t>Website</t>
        </is>
      </c>
      <c r="I614" t="inlineStr">
        <is>
          <t>งานประจำวัน</t>
        </is>
      </c>
      <c r="J614" t="inlineStr">
        <is>
          <t>Done</t>
        </is>
      </c>
      <c r="K614"/>
      <c r="L614" s="3" t="str">
        <f>=HYPERLINK("https://9to5mac.com/2025/12/03/hidden-vehicle-motion-cues-adjustment-ios-26/", "https://9to5mac.com/2025/12/03/hidden-vehicle-motion-cues-adjustment-ios-26/")</f>
        <v>https://9to5mac.com/2025/12/03/hidden-vehicle-motion-cues-adjustment-ios-26/</v>
      </c>
      <c r="M614" t="inlineStr">
        <is>
          <t>1</t>
        </is>
      </c>
      <c r="N614" t="inlineStr">
        <is>
          <t>Apple</t>
        </is>
      </c>
      <c r="O614"/>
    </row>
    <row r="615" ht="12.75" customHeight="1">
      <c r="A615" t="inlineStr">
        <is>
          <t>Search translation ใน Circle to Search ใช้ได้บน Pixel แล้ว ก่อนหน้านี้ใช้ได้เฉพาะ Samsung</t>
        </is>
      </c>
      <c r="B615" t="inlineStr">
        <is>
          <t>Sasithakan Sritonthip</t>
        </is>
      </c>
      <c r="C615" s="2">
        <v>45995</v>
      </c>
      <c r="D615" s="2">
        <v>45995</v>
      </c>
      <c r="E615" t="inlineStr">
        <is>
          <t>ปกติ</t>
        </is>
      </c>
      <c r="F615" s="3" t="str">
        <f>=HYPERLINK("https://9to5google.com/2025/12/03/continuous-circle-to-search-translation/", "https://9to5google.com/2025/12/03/continuous-circle-to-search-translation/")</f>
        <v>https://9to5google.com/2025/12/03/continuous-circle-to-search-translation/</v>
      </c>
      <c r="G615"/>
      <c r="H615" t="inlineStr">
        <is>
          <t>Website</t>
        </is>
      </c>
      <c r="I615" t="inlineStr">
        <is>
          <t>งานประจำวัน</t>
        </is>
      </c>
      <c r="J615" t="inlineStr">
        <is>
          <t>Done</t>
        </is>
      </c>
      <c r="K615"/>
      <c r="L615" s="3" t="str">
        <f>=HYPERLINK("https://www.iphonemod.net/continuous-circle-to-search-translation-comes-to-pixel-after-samsung-exclusivity.html", "https://www.iphonemod.net/continuous-circle-to-search-translation-comes-to-pixel-after-samsung-exclusivity.html")</f>
        <v>https://www.iphonemod.net/continuous-circle-to-search-translation-comes-to-pixel-after-samsung-exclusivity.html</v>
      </c>
      <c r="M615" t="inlineStr">
        <is>
          <t>1</t>
        </is>
      </c>
      <c r="N615" t="inlineStr">
        <is>
          <t>Android</t>
        </is>
      </c>
      <c r="O615"/>
    </row>
    <row r="616" ht="12.75" customHeight="1">
      <c r="A616" t="inlineStr">
        <is>
          <t xml:space="preserve">สิงคโปร์สั่งแบนสมาร์ทโฟนในโรงเรียน </t>
        </is>
      </c>
      <c r="B616" t="inlineStr">
        <is>
          <t>Krongkwun  Rithiwong</t>
        </is>
      </c>
      <c r="C616" s="2">
        <v>45995</v>
      </c>
      <c r="D616" s="2">
        <v>45995</v>
      </c>
      <c r="E616" t="inlineStr">
        <is>
          <t>ปกติ</t>
        </is>
      </c>
      <c r="F616" s="3"/>
      <c r="G616"/>
      <c r="H616" t="inlineStr">
        <is>
          <t>Shorts</t>
        </is>
      </c>
      <c r="I616" t="inlineStr">
        <is>
          <t>งานประจำวัน</t>
        </is>
      </c>
      <c r="J616" t="inlineStr">
        <is>
          <t>Done</t>
        </is>
      </c>
      <c r="K616"/>
      <c r="L616" s="3"/>
      <c r="M616" t="inlineStr">
        <is>
          <t>1</t>
        </is>
      </c>
      <c r="N616" t="inlineStr">
        <is>
          <t>Tech</t>
        </is>
      </c>
      <c r="O616"/>
    </row>
    <row r="617" ht="12.75" customHeight="1">
      <c r="A617" t="inlineStr">
        <is>
          <t>ลือ iPhone 17e</t>
        </is>
      </c>
      <c r="B617" t="inlineStr">
        <is>
          <t>Krongkwun  Rithiwong</t>
        </is>
      </c>
      <c r="C617" s="2">
        <v>45995</v>
      </c>
      <c r="D617" s="2">
        <v>45995</v>
      </c>
      <c r="E617" t="inlineStr">
        <is>
          <t>ปกติ</t>
        </is>
      </c>
      <c r="F617" s="3"/>
      <c r="G617"/>
      <c r="H617" t="inlineStr">
        <is>
          <t>Shorts</t>
        </is>
      </c>
      <c r="I617" t="inlineStr">
        <is>
          <t>งานประจำวัน</t>
        </is>
      </c>
      <c r="J617" t="inlineStr">
        <is>
          <t>Done</t>
        </is>
      </c>
      <c r="K617"/>
      <c r="L617" s="3"/>
      <c r="M617" t="inlineStr">
        <is>
          <t>1</t>
        </is>
      </c>
      <c r="N617" t="inlineStr">
        <is>
          <t>Apple</t>
        </is>
      </c>
      <c r="O617"/>
    </row>
    <row r="618" ht="12.75" customHeight="1">
      <c r="A618" t="inlineStr">
        <is>
          <t>Gemini AI ถูกติดตั้งลงเบาว์เซอร์ Opera One และ Opera GX แล้ว</t>
        </is>
      </c>
      <c r="B618" t="inlineStr">
        <is>
          <t>Sasithakan Sritonthip</t>
        </is>
      </c>
      <c r="C618" s="2">
        <v>45994</v>
      </c>
      <c r="D618" s="2">
        <v>45994</v>
      </c>
      <c r="E618" t="inlineStr">
        <is>
          <t>ปกติ</t>
        </is>
      </c>
      <c r="F618" s="3" t="str">
        <f>=HYPERLINK("https://www.macrumors.com/2025/12/02/google-gemini-ai-opera-browsers/", "https://www.macrumors.com/2025/12/02/google-gemini-ai-opera-browsers/")</f>
        <v>https://www.macrumors.com/2025/12/02/google-gemini-ai-opera-browsers/</v>
      </c>
      <c r="G618"/>
      <c r="H618" t="inlineStr">
        <is>
          <t>Website</t>
        </is>
      </c>
      <c r="I618" t="inlineStr">
        <is>
          <t>งานประจำวัน</t>
        </is>
      </c>
      <c r="J618" t="inlineStr">
        <is>
          <t>Done</t>
        </is>
      </c>
      <c r="K618"/>
      <c r="L618" s="3" t="str">
        <f>=HYPERLINK("https://www.iphonemod.net/google-gemini-ai-now-built-into-opera-one-and-opera-gx-browsers.html", "https://www.iphonemod.net/google-gemini-ai-now-built-into-opera-one-and-opera-gx-browsers.html")</f>
        <v>https://www.iphonemod.net/google-gemini-ai-now-built-into-opera-one-and-opera-gx-browsers.html</v>
      </c>
      <c r="M618" t="inlineStr">
        <is>
          <t>1</t>
        </is>
      </c>
      <c r="N618" t="inlineStr">
        <is>
          <t>Apple</t>
        </is>
      </c>
      <c r="O618"/>
    </row>
    <row r="619" ht="12.75" customHeight="1">
      <c r="A619" t="inlineStr">
        <is>
          <t>ChatGPT อาจเชื่อมต่อกับ Apple Health ได้ในเร็ว ๆ นี้</t>
        </is>
      </c>
      <c r="B619" t="inlineStr">
        <is>
          <t>Sasithakan Sritonthip</t>
        </is>
      </c>
      <c r="C619" s="2">
        <v>45994</v>
      </c>
      <c r="D619" s="2">
        <v>45994</v>
      </c>
      <c r="E619" t="inlineStr">
        <is>
          <t>ปกติ</t>
        </is>
      </c>
      <c r="F619" s="3" t="str">
        <f>=HYPERLINK("https://www.macrumors.com/2025/12/02/chatgpt-apple-health-connector/", "https://www.macrumors.com/2025/12/02/chatgpt-apple-health-connector/")</f>
        <v>https://www.macrumors.com/2025/12/02/chatgpt-apple-health-connector/</v>
      </c>
      <c r="G619"/>
      <c r="H619" t="inlineStr">
        <is>
          <t>Website</t>
        </is>
      </c>
      <c r="I619" t="inlineStr">
        <is>
          <t>งานประจำวัน</t>
        </is>
      </c>
      <c r="J619" t="inlineStr">
        <is>
          <t>Done</t>
        </is>
      </c>
      <c r="K619"/>
      <c r="L619" s="3" t="str">
        <f>=HYPERLINK("https://www.iphonemod.net/apple-health-integration-seemingly-coming-to-chatgpt.html", "https://www.iphonemod.net/apple-health-integration-seemingly-coming-to-chatgpt.html")</f>
        <v>https://www.iphonemod.net/apple-health-integration-seemingly-coming-to-chatgpt.html</v>
      </c>
      <c r="M619" t="inlineStr">
        <is>
          <t>1</t>
        </is>
      </c>
      <c r="N619" t="inlineStr">
        <is>
          <t>Apple</t>
        </is>
      </c>
      <c r="O619"/>
    </row>
    <row r="620" ht="12.75" customHeight="1">
      <c r="A620" t="inlineStr">
        <is>
          <t>Google เพิ่มฟีเจอร์แจ้งเตือนการโทรแบบ "สายด่วน", และแจ้งเตือน!ให้ระวัง! กลุ่มแชทที่อาจจะเป็น Spam</t>
        </is>
      </c>
      <c r="B620" t="inlineStr">
        <is>
          <t>Sasithakan Sritonthip</t>
        </is>
      </c>
      <c r="C620" s="2">
        <v>45994</v>
      </c>
      <c r="D620" s="2">
        <v>45994</v>
      </c>
      <c r="E620"/>
      <c r="F620" s="3" t="str">
        <f>=HYPERLINK("https://9to5google.com/2025/12/02/google-phone-urgent-messages-unknown-group/", "https://9to5google.com/2025/12/02/google-phone-urgent-messages-unknown-group/")</f>
        <v>https://9to5google.com/2025/12/02/google-phone-urgent-messages-unknown-group/</v>
      </c>
      <c r="G620"/>
      <c r="H620" t="inlineStr">
        <is>
          <t>Website</t>
        </is>
      </c>
      <c r="I620" t="inlineStr">
        <is>
          <t>งานประจำวัน</t>
        </is>
      </c>
      <c r="J620" t="inlineStr">
        <is>
          <t>Done</t>
        </is>
      </c>
      <c r="K620"/>
      <c r="L620" s="3" t="str">
        <f>=HYPERLINK("https://www.iphonemod.net/google-phone-adding-urgent-calling-messages-app-getting-unknown-group-chat-alerts.html", "https://www.iphonemod.net/google-phone-adding-urgent-calling-messages-app-getting-unknown-group-chat-alerts.html")</f>
        <v>https://www.iphonemod.net/google-phone-adding-urgent-calling-messages-app-getting-unknown-group-chat-alerts.html</v>
      </c>
      <c r="M620" t="inlineStr">
        <is>
          <t>1</t>
        </is>
      </c>
      <c r="N620" t="inlineStr">
        <is>
          <t>Android</t>
        </is>
      </c>
      <c r="O620"/>
    </row>
    <row r="621" ht="12.75" customHeight="1">
      <c r="A621" t="inlineStr">
        <is>
          <t>Galaxy Tab A11 เหมาะกับใคร</t>
        </is>
      </c>
      <c r="B621" t="inlineStr">
        <is>
          <t>Saktaphat Kordjan</t>
        </is>
      </c>
      <c r="C621" s="2">
        <v>45994</v>
      </c>
      <c r="D621" s="2">
        <v>45994</v>
      </c>
      <c r="E621"/>
      <c r="F621" s="3"/>
      <c r="G621"/>
      <c r="H621" t="inlineStr">
        <is>
          <t>Shorts</t>
        </is>
      </c>
      <c r="I621" t="inlineStr">
        <is>
          <t>งานประจำวัน</t>
        </is>
      </c>
      <c r="J621" t="inlineStr">
        <is>
          <t>Done</t>
        </is>
      </c>
      <c r="K621"/>
      <c r="L621" s="3"/>
      <c r="M621" t="inlineStr">
        <is>
          <t>1</t>
        </is>
      </c>
      <c r="N621" t="inlineStr">
        <is>
          <t>Android</t>
        </is>
      </c>
      <c r="O621"/>
    </row>
    <row r="622" ht="12.75" customHeight="1">
      <c r="A622" t="inlineStr">
        <is>
          <t>12.12 | ปากกา Apple Pencil Pro เหมาะับสายวาดยังไง</t>
        </is>
      </c>
      <c r="B622" t="inlineStr">
        <is>
          <t>Krongkwun  Rithiwong</t>
        </is>
      </c>
      <c r="C622" s="2">
        <v>45994</v>
      </c>
      <c r="D622" s="2">
        <v>45994</v>
      </c>
      <c r="E622" t="inlineStr">
        <is>
          <t>ปกติ</t>
        </is>
      </c>
      <c r="F622" s="3"/>
      <c r="G622"/>
      <c r="H622" t="inlineStr">
        <is>
          <t>Shorts</t>
        </is>
      </c>
      <c r="I622" t="inlineStr">
        <is>
          <t>งานประจำวัน</t>
        </is>
      </c>
      <c r="J622" t="inlineStr">
        <is>
          <t>Done</t>
        </is>
      </c>
      <c r="K622"/>
      <c r="L622" s="3"/>
      <c r="M622" t="inlineStr">
        <is>
          <t>1</t>
        </is>
      </c>
      <c r="N622" t="inlineStr">
        <is>
          <t>Apple</t>
        </is>
      </c>
      <c r="O622"/>
    </row>
    <row r="623" ht="12.75" customHeight="1">
      <c r="A623" t="inlineStr">
        <is>
          <t>ChatGPT เตรียมแสดงโฆษณาสำหรับผู้ใช้แพ็กเกจฟรี</t>
        </is>
      </c>
      <c r="B623" t="inlineStr">
        <is>
          <t>Sasithakan Sritonthip</t>
        </is>
      </c>
      <c r="C623" s="2">
        <v>45993</v>
      </c>
      <c r="D623" s="2">
        <v>45993</v>
      </c>
      <c r="E623" t="inlineStr">
        <is>
          <t>ปกติ</t>
        </is>
      </c>
      <c r="F623" s="3" t="str">
        <f>=HYPERLINK("https://www.macrumors.com/2025/12/01/chatgpt-ads-free-users/", "https://www.macrumors.com/2025/12/01/chatgpt-ads-free-users/")</f>
        <v>https://www.macrumors.com/2025/12/01/chatgpt-ads-free-users/</v>
      </c>
      <c r="G623"/>
      <c r="H623" t="inlineStr">
        <is>
          <t>Website</t>
        </is>
      </c>
      <c r="I623" t="inlineStr">
        <is>
          <t>งานประจำวัน</t>
        </is>
      </c>
      <c r="J623" t="inlineStr">
        <is>
          <t>Done</t>
        </is>
      </c>
      <c r="K623"/>
      <c r="L623" s="3" t="str">
        <f>=HYPERLINK("https://www.iphonemod.net/chatgpt-is-going-to-start-showing-you-ads.html", "https://www.iphonemod.net/chatgpt-is-going-to-start-showing-you-ads.html")</f>
        <v>https://www.iphonemod.net/chatgpt-is-going-to-start-showing-you-ads.html</v>
      </c>
      <c r="M623" t="inlineStr">
        <is>
          <t>1</t>
        </is>
      </c>
      <c r="N623" t="inlineStr">
        <is>
          <t>Apple</t>
        </is>
      </c>
      <c r="O623"/>
    </row>
    <row r="624" ht="12.75" customHeight="1">
      <c r="A624" t="inlineStr">
        <is>
          <t>Nothing เปิดอัปเดต OS 4.0 ฉลาดและทรงพลังมากขึ้นกว่าที่เคย</t>
        </is>
      </c>
      <c r="B624" t="inlineStr">
        <is>
          <t>Saktaphat Kordjan</t>
        </is>
      </c>
      <c r="C624" s="2">
        <v>45993</v>
      </c>
      <c r="D624" s="2">
        <v>45993</v>
      </c>
      <c r="E624"/>
      <c r="F624" s="3"/>
      <c r="G624"/>
      <c r="H624" t="inlineStr">
        <is>
          <t>Website</t>
        </is>
      </c>
      <c r="I624" t="inlineStr">
        <is>
          <t>งานประจำวัน</t>
        </is>
      </c>
      <c r="J624" t="inlineStr">
        <is>
          <t>Done</t>
        </is>
      </c>
      <c r="K624"/>
      <c r="L624" s="3"/>
      <c r="M624" t="inlineStr">
        <is>
          <t>1</t>
        </is>
      </c>
      <c r="N624" t="inlineStr">
        <is>
          <t>PR</t>
        </is>
      </c>
      <c r="O624"/>
    </row>
    <row r="625" ht="12.75" customHeight="1">
      <c r="A625" t="inlineStr">
        <is>
          <t xml:space="preserve">เปิดตัว Galaxy Z TriFold </t>
        </is>
      </c>
      <c r="B625" t="inlineStr">
        <is>
          <t>Saktaphat Kordjan</t>
        </is>
      </c>
      <c r="C625" s="2">
        <v>45993</v>
      </c>
      <c r="D625" s="2">
        <v>45993</v>
      </c>
      <c r="E625"/>
      <c r="F625" s="3"/>
      <c r="G625"/>
      <c r="H625" t="inlineStr">
        <is>
          <t>Website, Pic Posts / Album, Shorts</t>
        </is>
      </c>
      <c r="I625" t="inlineStr">
        <is>
          <t>งานประจำวัน</t>
        </is>
      </c>
      <c r="J625" t="inlineStr">
        <is>
          <t>Done</t>
        </is>
      </c>
      <c r="K625"/>
      <c r="L625" s="3"/>
      <c r="M625" t="inlineStr">
        <is>
          <t>1</t>
        </is>
      </c>
      <c r="N625" t="inlineStr">
        <is>
          <t>Android</t>
        </is>
      </c>
      <c r="O625"/>
    </row>
    <row r="626" ht="12.75" customHeight="1">
      <c r="A626" t="inlineStr">
        <is>
          <t>iPhone Air ดีกว่าที่คิด</t>
        </is>
      </c>
      <c r="B626" t="inlineStr">
        <is>
          <t>Saktaphat Kordjan</t>
        </is>
      </c>
      <c r="C626" s="2">
        <v>45993</v>
      </c>
      <c r="D626" s="2">
        <v>45993</v>
      </c>
      <c r="E626"/>
      <c r="F626" s="3"/>
      <c r="G626"/>
      <c r="H626" t="inlineStr">
        <is>
          <t>YouTube</t>
        </is>
      </c>
      <c r="I626" t="inlineStr">
        <is>
          <t>งานลูกค้า</t>
        </is>
      </c>
      <c r="J626" t="inlineStr">
        <is>
          <t>Done</t>
        </is>
      </c>
      <c r="K626"/>
      <c r="L626" s="3"/>
      <c r="M626" t="inlineStr">
        <is>
          <t>1</t>
        </is>
      </c>
      <c r="N626" t="inlineStr">
        <is>
          <t>Apple</t>
        </is>
      </c>
      <c r="O626" t="inlineStr">
        <is>
          <t>Apple</t>
        </is>
      </c>
    </row>
    <row r="627" ht="12.75" customHeight="1">
      <c r="A627" t="inlineStr">
        <is>
          <t>iPhone SE รุ่นแรกถูกลอยแพแล้ว Obsolete</t>
        </is>
      </c>
      <c r="B627" t="inlineStr">
        <is>
          <t>Thitirath Kinaret,Sasithakan Sritonthip</t>
        </is>
      </c>
      <c r="C627" s="2">
        <v>45993</v>
      </c>
      <c r="D627" s="2">
        <v>45993</v>
      </c>
      <c r="E627" t="inlineStr">
        <is>
          <t>ปกติ</t>
        </is>
      </c>
      <c r="F627" s="3" t="str">
        <f>=HYPERLINK("https://www.iphonemod.net/iphone-se-1-now-obsolete.html", "https://www.iphonemod.net/iphone-se-1-now-obsolete.html")</f>
        <v>https://www.iphonemod.net/iphone-se-1-now-obsolete.html</v>
      </c>
      <c r="G627"/>
      <c r="H627" t="inlineStr">
        <is>
          <t>Shorts</t>
        </is>
      </c>
      <c r="I627" t="inlineStr">
        <is>
          <t>งานประจำวัน</t>
        </is>
      </c>
      <c r="J627" t="inlineStr">
        <is>
          <t>Done</t>
        </is>
      </c>
      <c r="K627"/>
      <c r="L627" s="3"/>
      <c r="M627" t="inlineStr">
        <is>
          <t>1</t>
        </is>
      </c>
      <c r="N627" t="inlineStr">
        <is>
          <t>Apple</t>
        </is>
      </c>
      <c r="O627"/>
    </row>
    <row r="628" ht="12.75" customHeight="1">
      <c r="A628" t="inlineStr">
        <is>
          <t>Google Search ปรับปรุงการสลับใช้งานระหว่างโหมด AI Overviews และ AI Mode</t>
        </is>
      </c>
      <c r="B628" t="inlineStr">
        <is>
          <t>Sasithakan Sritonthip</t>
        </is>
      </c>
      <c r="C628" s="2">
        <v>45993</v>
      </c>
      <c r="D628" s="2">
        <v>45993</v>
      </c>
      <c r="E628" t="inlineStr">
        <is>
          <t>ปกติ</t>
        </is>
      </c>
      <c r="F628" s="3" t="str">
        <f>=HYPERLINK("https://9to5google.com/2025/12/01/google-ai-overviews-mode-test/", "https://9to5google.com/2025/12/01/google-ai-overviews-mode-test/")</f>
        <v>https://9to5google.com/2025/12/01/google-ai-overviews-mode-test/</v>
      </c>
      <c r="G628"/>
      <c r="H628" t="inlineStr">
        <is>
          <t>Website</t>
        </is>
      </c>
      <c r="I628" t="inlineStr">
        <is>
          <t>งานประจำวัน</t>
        </is>
      </c>
      <c r="J628" t="inlineStr">
        <is>
          <t>Done</t>
        </is>
      </c>
      <c r="K628"/>
      <c r="L628" s="3" t="str">
        <f>=HYPERLINK("https://www.iphonemod.net/google-search-adding-seamless-transition-from-ai-overviews-to-ai-mode.html", "https://www.iphonemod.net/google-search-adding-seamless-transition-from-ai-overviews-to-ai-mode.html")</f>
        <v>https://www.iphonemod.net/google-search-adding-seamless-transition-from-ai-overviews-to-ai-mode.html</v>
      </c>
      <c r="M628" t="inlineStr">
        <is>
          <t>1</t>
        </is>
      </c>
      <c r="N628" t="inlineStr">
        <is>
          <t>Apple</t>
        </is>
      </c>
      <c r="O628"/>
    </row>
    <row r="629" ht="12.75" customHeight="1">
      <c r="A629" t="inlineStr">
        <is>
          <t>2 ฟีเจอร์ใหม่บน Google Play Store ช่วยเคลียร์แอปสปายในเครื่องด้วย "คลิกเดียว"</t>
        </is>
      </c>
      <c r="B629" t="inlineStr">
        <is>
          <t>Sasithakan Sritonthip</t>
        </is>
      </c>
      <c r="C629" s="2">
        <v>45993</v>
      </c>
      <c r="D629" s="2">
        <v>45993</v>
      </c>
      <c r="E629" t="inlineStr">
        <is>
          <t>ปกติ</t>
        </is>
      </c>
      <c r="F629" s="3" t="str">
        <f>=HYPERLINK("https://www.forbes.com/sites/zakdoffman/2025/11/30/googles-play-store-update-delete-all-these-spyware-apps-now/", "https://www.forbes.com/sites/zakdoffman/2025/11/30/googles-play-store-update-delete-all-these-spyware-apps-now/")</f>
        <v>https://www.forbes.com/sites/zakdoffman/2025/11/30/googles-play-store-update-delete-all-these-spyware-apps-now/</v>
      </c>
      <c r="G629"/>
      <c r="H629" t="inlineStr">
        <is>
          <t>Website</t>
        </is>
      </c>
      <c r="I629" t="inlineStr">
        <is>
          <t>งานประจำวัน</t>
        </is>
      </c>
      <c r="J629" t="inlineStr">
        <is>
          <t>Done</t>
        </is>
      </c>
      <c r="K629"/>
      <c r="L629" s="3" t="str">
        <f>=HYPERLINK("https://www.iphonemod.net/googles-play-store-updatedelete-all-these-spyware-apps-now.html", "https://www.iphonemod.net/googles-play-store-updatedelete-all-these-spyware-apps-now.html")</f>
        <v>https://www.iphonemod.net/googles-play-store-updatedelete-all-these-spyware-apps-now.html</v>
      </c>
      <c r="M629" t="inlineStr">
        <is>
          <t>1</t>
        </is>
      </c>
      <c r="N629" t="inlineStr">
        <is>
          <t>Tech, Android</t>
        </is>
      </c>
      <c r="O629"/>
    </row>
    <row r="630" ht="12.75" customHeight="1">
      <c r="A630" t="inlineStr">
        <is>
          <t>Google เตรียมเปิดตัว Aluminium OS นำ Android สู่โลกของ PC</t>
        </is>
      </c>
      <c r="B630" t="inlineStr">
        <is>
          <t>Sasithakan Sritonthip</t>
        </is>
      </c>
      <c r="C630" s="2">
        <v>45993</v>
      </c>
      <c r="D630" s="2">
        <v>45993</v>
      </c>
      <c r="E630" t="inlineStr">
        <is>
          <t>ปกติ</t>
        </is>
      </c>
      <c r="F630" s="3" t="str">
        <f>=HYPERLINK("https://www.theverge.com/news/828595/google-aluminium-os-android-pc-chromeos-ai", "https://www.theverge.com/news/828595/google-aluminium-os-android-pc-chromeos-ai")</f>
        <v>https://www.theverge.com/news/828595/google-aluminium-os-android-pc-chromeos-ai</v>
      </c>
      <c r="G630"/>
      <c r="H630" t="inlineStr">
        <is>
          <t>Website</t>
        </is>
      </c>
      <c r="I630" t="inlineStr">
        <is>
          <t>งานประจำวัน</t>
        </is>
      </c>
      <c r="J630" t="inlineStr">
        <is>
          <t>Done</t>
        </is>
      </c>
      <c r="K630"/>
      <c r="L630" s="3" t="str">
        <f>=HYPERLINK("https://www.iphonemod.net/googles-aluminium-os-to-bring-android-to-the-pc.html", "https://www.iphonemod.net/googles-aluminium-os-to-bring-android-to-the-pc.html")</f>
        <v>https://www.iphonemod.net/googles-aluminium-os-to-bring-android-to-the-pc.html</v>
      </c>
      <c r="M630" t="inlineStr">
        <is>
          <t>1</t>
        </is>
      </c>
      <c r="N630" t="inlineStr">
        <is>
          <t>Android, Tech</t>
        </is>
      </c>
      <c r="O630"/>
    </row>
    <row r="631" ht="12.75" customHeight="1">
      <c r="A631" t="inlineStr">
        <is>
          <t>Maclock is an adorable desk clock for 1984 Macintosh lovers</t>
        </is>
      </c>
      <c r="B631" t="inlineStr">
        <is>
          <t>Sasithakan Sritonthip</t>
        </is>
      </c>
      <c r="C631" s="2">
        <v>45993</v>
      </c>
      <c r="D631" s="2">
        <v>45993</v>
      </c>
      <c r="E631" t="inlineStr">
        <is>
          <t>ปกติ</t>
        </is>
      </c>
      <c r="F631" s="3" t="str">
        <f>=HYPERLINK("https://9to5mac.com/2025/12/01/maclock-is-an-adorable-desk-clock-for-1984-macintosh-lovers/", "https://9to5mac.com/2025/12/01/maclock-is-an-adorable-desk-clock-for-1984-macintosh-lovers/")</f>
        <v>https://9to5mac.com/2025/12/01/maclock-is-an-adorable-desk-clock-for-1984-macintosh-lovers/</v>
      </c>
      <c r="G631"/>
      <c r="H631" t="inlineStr">
        <is>
          <t>Website</t>
        </is>
      </c>
      <c r="I631" t="inlineStr">
        <is>
          <t>งานประจำวัน</t>
        </is>
      </c>
      <c r="J631" t="inlineStr">
        <is>
          <t>Done</t>
        </is>
      </c>
      <c r="K631"/>
      <c r="L631" s="3" t="str">
        <f>=HYPERLINK("https://www.iphonemod.net/maclock-is-an-adorable-desk-clock-for-1984-macintosh-lovers.html", "https://www.iphonemod.net/maclock-is-an-adorable-desk-clock-for-1984-macintosh-lovers.html")</f>
        <v>https://www.iphonemod.net/maclock-is-an-adorable-desk-clock-for-1984-macintosh-lovers.html</v>
      </c>
      <c r="M631" t="inlineStr">
        <is>
          <t>1</t>
        </is>
      </c>
      <c r="N631" t="inlineStr">
        <is>
          <t>Apple</t>
        </is>
      </c>
      <c r="O631"/>
    </row>
    <row r="632" ht="12.75" customHeight="1">
      <c r="A632" t="inlineStr">
        <is>
          <t>น้ำยาทำความสะอาดหน้าจอ Focus ตัวเดียวครบจบ ทั้งมือถือ แท็บเล็ต จอคอม</t>
        </is>
      </c>
      <c r="B632" t="inlineStr">
        <is>
          <t>Saktaphat Kordjan</t>
        </is>
      </c>
      <c r="C632" s="2">
        <v>45993</v>
      </c>
      <c r="D632" s="2">
        <v>45993</v>
      </c>
      <c r="E632"/>
      <c r="F632" s="3"/>
      <c r="G632"/>
      <c r="H632" t="inlineStr">
        <is>
          <t>Shorts</t>
        </is>
      </c>
      <c r="I632" t="inlineStr">
        <is>
          <t>งานประจำวัน</t>
        </is>
      </c>
      <c r="J632" t="inlineStr">
        <is>
          <t>Done</t>
        </is>
      </c>
      <c r="K632"/>
      <c r="L632" s="3"/>
      <c r="M632" t="inlineStr">
        <is>
          <t>1</t>
        </is>
      </c>
      <c r="N632" t="inlineStr">
        <is>
          <t>Android</t>
        </is>
      </c>
      <c r="O632"/>
    </row>
    <row r="633" ht="12.75" customHeight="1">
      <c r="A633" t="inlineStr">
        <is>
          <t xml:space="preserve">12.12 | ขาตั้งกล้องที่เราใช้! Ulanzi </t>
        </is>
      </c>
      <c r="B633" t="inlineStr">
        <is>
          <t>Krongkwun  Rithiwong</t>
        </is>
      </c>
      <c r="C633" s="2">
        <v>45993</v>
      </c>
      <c r="D633" s="2">
        <v>45993</v>
      </c>
      <c r="E633" t="inlineStr">
        <is>
          <t>ปกติ</t>
        </is>
      </c>
      <c r="F633" s="3"/>
      <c r="G633"/>
      <c r="H633" t="inlineStr">
        <is>
          <t>Shorts</t>
        </is>
      </c>
      <c r="I633" t="inlineStr">
        <is>
          <t>งานประจำวัน</t>
        </is>
      </c>
      <c r="J633" t="inlineStr">
        <is>
          <t>Done</t>
        </is>
      </c>
      <c r="K633"/>
      <c r="L633" s="3"/>
      <c r="M633" t="inlineStr">
        <is>
          <t>1</t>
        </is>
      </c>
      <c r="N633" t="inlineStr">
        <is>
          <t>Tech</t>
        </is>
      </c>
      <c r="O633"/>
    </row>
    <row r="634" ht="12.75" customHeight="1">
      <c r="A634" t="inlineStr">
        <is>
          <t>Chatbot AI ตอบคำถามอันตรายได้ถ้าอยู่ในรูปแบบกวี</t>
        </is>
      </c>
      <c r="B634" t="inlineStr">
        <is>
          <t>Nattida Suriyodara</t>
        </is>
      </c>
      <c r="C634" s="2">
        <v>45992</v>
      </c>
      <c r="D634" s="2">
        <v>45992</v>
      </c>
      <c r="E634"/>
      <c r="F634" s="3"/>
      <c r="G634"/>
      <c r="H634" t="inlineStr">
        <is>
          <t>Website</t>
        </is>
      </c>
      <c r="I634" t="inlineStr">
        <is>
          <t>งานประจำวัน</t>
        </is>
      </c>
      <c r="J634" t="inlineStr">
        <is>
          <t>Done</t>
        </is>
      </c>
      <c r="K634"/>
      <c r="L634" s="3"/>
      <c r="M634" t="inlineStr">
        <is>
          <t>1</t>
        </is>
      </c>
      <c r="N634" t="inlineStr">
        <is>
          <t>AI</t>
        </is>
      </c>
      <c r="O634"/>
    </row>
    <row r="635" ht="12.75" customHeight="1">
      <c r="A635" t="inlineStr">
        <is>
          <t>แอป Snowy เพิ่มไฟคริสต์มาส หิมะ และวอลเปเปอร์ธีม Aqua ให้บน Mac</t>
        </is>
      </c>
      <c r="B635" t="inlineStr">
        <is>
          <t>Sasithakan Sritonthip</t>
        </is>
      </c>
      <c r="C635" s="2">
        <v>45992</v>
      </c>
      <c r="D635" s="2">
        <v>45992</v>
      </c>
      <c r="E635" t="inlineStr">
        <is>
          <t>ปกติ</t>
        </is>
      </c>
      <c r="F635" s="3" t="str">
        <f>=HYPERLINK("https://9to5mac.com/2025/11/30/snowy-adds-christmas-lights-snow-and-an-aqua-inspired-wallpaper-to-your-mac-for-free/", "https://9to5mac.com/2025/11/30/snowy-adds-christmas-lights-snow-and-an-aqua-inspired-wallpaper-to-your-mac-for-free/")</f>
        <v>https://9to5mac.com/2025/11/30/snowy-adds-christmas-lights-snow-and-an-aqua-inspired-wallpaper-to-your-mac-for-free/</v>
      </c>
      <c r="G635"/>
      <c r="H635" t="inlineStr">
        <is>
          <t>Website</t>
        </is>
      </c>
      <c r="I635" t="inlineStr">
        <is>
          <t>งานประจำวัน</t>
        </is>
      </c>
      <c r="J635" t="inlineStr">
        <is>
          <t>Done</t>
        </is>
      </c>
      <c r="K635"/>
      <c r="L635" s="3" t="str">
        <f>=HYPERLINK("https://www.iphonemod.net/snowy-adds-christmas-lights-snow-and-an-aqua-inspired-wallpaper-to-your-mac-for-free.html", "https://www.iphonemod.net/snowy-adds-christmas-lights-snow-and-an-aqua-inspired-wallpaper-to-your-mac-for-free.html")</f>
        <v>https://www.iphonemod.net/snowy-adds-christmas-lights-snow-and-an-aqua-inspired-wallpaper-to-your-mac-for-free.html</v>
      </c>
      <c r="M635" t="inlineStr">
        <is>
          <t>1</t>
        </is>
      </c>
      <c r="N635" t="inlineStr">
        <is>
          <t>Apple</t>
        </is>
      </c>
      <c r="O635"/>
    </row>
    <row r="636" ht="12.75" customHeight="1">
      <c r="A636" t="inlineStr">
        <is>
          <t>Apple อาจร่วมมือกับ Intel อีกครั้งในการผลิตชิป M-Series ระดับเริ่มต้น</t>
        </is>
      </c>
      <c r="B636" t="inlineStr">
        <is>
          <t>Sasithakan Sritonthip</t>
        </is>
      </c>
      <c r="C636" s="2">
        <v>45992</v>
      </c>
      <c r="D636" s="2">
        <v>45992</v>
      </c>
      <c r="E636" t="inlineStr">
        <is>
          <t>ปกติ</t>
        </is>
      </c>
      <c r="F636" s="3" t="str">
        <f>=HYPERLINK("https://www.macrumors.com/2025/11/28/intel-rumored-to-supply-new-mac-chip/", "https://www.macrumors.com/2025/11/28/intel-rumored-to-supply-new-mac-chip/")</f>
        <v>https://www.macrumors.com/2025/11/28/intel-rumored-to-supply-new-mac-chip/</v>
      </c>
      <c r="G636"/>
      <c r="H636" t="inlineStr">
        <is>
          <t>Website</t>
        </is>
      </c>
      <c r="I636" t="inlineStr">
        <is>
          <t>งานประจำวัน</t>
        </is>
      </c>
      <c r="J636" t="inlineStr">
        <is>
          <t>Done</t>
        </is>
      </c>
      <c r="K636"/>
      <c r="L636" s="3" t="str">
        <f>=HYPERLINK("https://www.iphonemod.net/apple-and-intel-rumored-to-partner-on-mac-chips-again-in-a-new-way.html", "https://www.iphonemod.net/apple-and-intel-rumored-to-partner-on-mac-chips-again-in-a-new-way.html")</f>
        <v>https://www.iphonemod.net/apple-and-intel-rumored-to-partner-on-mac-chips-again-in-a-new-way.html</v>
      </c>
      <c r="M636" t="inlineStr">
        <is>
          <t>1</t>
        </is>
      </c>
      <c r="N636" t="inlineStr">
        <is>
          <t>Apple</t>
        </is>
      </c>
      <c r="O636"/>
    </row>
    <row r="637" ht="12.75" customHeight="1">
      <c r="A637" t="inlineStr">
        <is>
          <t>iPhone ในวันคนโสดจีน</t>
        </is>
      </c>
      <c r="B637" t="inlineStr">
        <is>
          <t>Krongkwun  Rithiwong</t>
        </is>
      </c>
      <c r="C637" s="2">
        <v>45992</v>
      </c>
      <c r="D637" s="2">
        <v>45992</v>
      </c>
      <c r="E637" t="inlineStr">
        <is>
          <t>ปกติ</t>
        </is>
      </c>
      <c r="F637" s="3"/>
      <c r="G637"/>
      <c r="H637" t="inlineStr">
        <is>
          <t>Shorts</t>
        </is>
      </c>
      <c r="I637" t="inlineStr">
        <is>
          <t>งานประจำวัน</t>
        </is>
      </c>
      <c r="J637" t="inlineStr">
        <is>
          <t>Done</t>
        </is>
      </c>
      <c r="K637"/>
      <c r="L637" s="3"/>
      <c r="M637" t="inlineStr">
        <is>
          <t>1</t>
        </is>
      </c>
      <c r="N637" t="inlineStr">
        <is>
          <t>Apple, Android</t>
        </is>
      </c>
      <c r="O637"/>
    </row>
    <row r="638" ht="12.75" customHeight="1">
      <c r="A638" t="inlineStr">
        <is>
          <t>12.12 | แนะนำสายคล้องโทรศัพท์</t>
        </is>
      </c>
      <c r="B638" t="inlineStr">
        <is>
          <t>Krongkwun  Rithiwong</t>
        </is>
      </c>
      <c r="C638" s="2">
        <v>45992</v>
      </c>
      <c r="D638" s="2">
        <v>45992</v>
      </c>
      <c r="E638" t="inlineStr">
        <is>
          <t>ปกติ</t>
        </is>
      </c>
      <c r="F638" s="3"/>
      <c r="G638"/>
      <c r="H638" t="inlineStr">
        <is>
          <t>Shorts</t>
        </is>
      </c>
      <c r="I638" t="inlineStr">
        <is>
          <t>งานประจำวัน</t>
        </is>
      </c>
      <c r="J638" t="inlineStr">
        <is>
          <t>Done</t>
        </is>
      </c>
      <c r="K638"/>
      <c r="L638" s="3"/>
      <c r="M638" t="inlineStr">
        <is>
          <t>1</t>
        </is>
      </c>
      <c r="N638" t="inlineStr">
        <is>
          <t>Apple</t>
        </is>
      </c>
      <c r="O638"/>
    </row>
    <row r="639" ht="12.75" customHeight="1">
      <c r="A639" t="inlineStr">
        <is>
          <t>iPhone โค่น samsung 2025</t>
        </is>
      </c>
      <c r="B639" t="inlineStr">
        <is>
          <t>Krongkwun  Rithiwong,Sasithakan Sritonthip</t>
        </is>
      </c>
      <c r="C639" s="2">
        <v>45989</v>
      </c>
      <c r="D639" s="2">
        <v>45989</v>
      </c>
      <c r="E639" t="inlineStr">
        <is>
          <t>ปกติ</t>
        </is>
      </c>
      <c r="F639" s="3" t="str">
        <f>=HYPERLINK("https://www.iphonemod.net/apple-set-to-reclaim-worlds-top-phone-maker-title-from-samsung.html", "https://www.iphonemod.net/apple-set-to-reclaim-worlds-top-phone-maker-title-from-samsung.html")</f>
        <v>https://www.iphonemod.net/apple-set-to-reclaim-worlds-top-phone-maker-title-from-samsung.html</v>
      </c>
      <c r="G639"/>
      <c r="H639" t="inlineStr">
        <is>
          <t>Shorts</t>
        </is>
      </c>
      <c r="I639" t="inlineStr">
        <is>
          <t>งานประจำวัน</t>
        </is>
      </c>
      <c r="J639" t="inlineStr">
        <is>
          <t>Done</t>
        </is>
      </c>
      <c r="K639"/>
      <c r="L639" s="3"/>
      <c r="M639" t="inlineStr">
        <is>
          <t>1</t>
        </is>
      </c>
      <c r="N639" t="inlineStr">
        <is>
          <t>Apple</t>
        </is>
      </c>
      <c r="O639"/>
    </row>
    <row r="640" ht="12.75" customHeight="1">
      <c r="A640" t="inlineStr">
        <is>
          <t>iPhone ขับเคลื่อนยอดขายสมาร์ทโฟน ในช่วงเทศกาลวันคนโสดของจีน</t>
        </is>
      </c>
      <c r="B640" t="inlineStr">
        <is>
          <t>Sasithakan Sritonthip</t>
        </is>
      </c>
      <c r="C640" s="2">
        <v>45989</v>
      </c>
      <c r="D640" s="2">
        <v>45989</v>
      </c>
      <c r="E640" t="inlineStr">
        <is>
          <t>ปกติ</t>
        </is>
      </c>
      <c r="F640" s="3" t="str">
        <f>=HYPERLINK("https://9to5mac.com/2025/11/27/iphone-sales-china-singles-day-event-sales/", "https://9to5mac.com/2025/11/27/iphone-sales-china-singles-day-event-sales/")</f>
        <v>https://9to5mac.com/2025/11/27/iphone-sales-china-singles-day-event-sales/</v>
      </c>
      <c r="G640"/>
      <c r="H640" t="inlineStr">
        <is>
          <t>Website</t>
        </is>
      </c>
      <c r="I640" t="inlineStr">
        <is>
          <t>งานประจำวัน</t>
        </is>
      </c>
      <c r="J640" t="inlineStr">
        <is>
          <t>Done</t>
        </is>
      </c>
      <c r="K640"/>
      <c r="L640" s="3" t="str">
        <f>=HYPERLINK("https://www.iphonemod.net/report-iphone-single-handedly-drove-phone-sales-growth-during-chinas-singles-day-event.html", "https://www.iphonemod.net/report-iphone-single-handedly-drove-phone-sales-growth-during-chinas-singles-day-event.html")</f>
        <v>https://www.iphonemod.net/report-iphone-single-handedly-drove-phone-sales-growth-during-chinas-singles-day-event.html</v>
      </c>
      <c r="M640" t="inlineStr">
        <is>
          <t>1</t>
        </is>
      </c>
      <c r="N640" t="inlineStr">
        <is>
          <t>Apple</t>
        </is>
      </c>
      <c r="O640"/>
    </row>
    <row r="641" ht="12.75" customHeight="1">
      <c r="A641" t="inlineStr">
        <is>
          <t>แบรนด์มือถือในจีน ล้มแผนผลิตมือถือรุ่นบาง จากกระแสแง่ลบของ iPhone Air</t>
        </is>
      </c>
      <c r="B641" t="inlineStr">
        <is>
          <t>Sasithakan Sritonthip</t>
        </is>
      </c>
      <c r="C641" s="2">
        <v>45989</v>
      </c>
      <c r="D641" s="2">
        <v>45989</v>
      </c>
      <c r="E641" t="inlineStr">
        <is>
          <t>ปกติ</t>
        </is>
      </c>
      <c r="F641" s="3" t="str">
        <f>=HYPERLINK("https://9to5mac.com/2025/11/27/chinese-brands-watched-the-iphone-air-flop-and-canceled-their-own-plans-report/", "https://9to5mac.com/2025/11/27/chinese-brands-watched-the-iphone-air-flop-and-canceled-their-own-plans-report/")</f>
        <v>https://9to5mac.com/2025/11/27/chinese-brands-watched-the-iphone-air-flop-and-canceled-their-own-plans-report/</v>
      </c>
      <c r="G641"/>
      <c r="H641" t="inlineStr">
        <is>
          <t>Website</t>
        </is>
      </c>
      <c r="I641" t="inlineStr">
        <is>
          <t>งานประจำวัน</t>
        </is>
      </c>
      <c r="J641" t="inlineStr">
        <is>
          <t>Done</t>
        </is>
      </c>
      <c r="K641"/>
      <c r="L641" s="3" t="str">
        <f>=HYPERLINK("https://www.iphonemod.net/chinese-brands-watched-the-iphone-air-flop-and-canceled-their-own-plans-report-avatar-for-ben-lovejoy-ben-lovejoy-nov-27-2025-351-am-pt.html", "https://www.iphonemod.net/chinese-brands-watched-the-iphone-air-flop-and-canceled-their-own-plans-report-avatar-for-ben-lovejoy-ben-lovejoy-nov-27-2025-351-am-pt.html")</f>
        <v>https://www.iphonemod.net/chinese-brands-watched-the-iphone-air-flop-and-canceled-their-own-plans-report-avatar-for-ben-lovejoy-ben-lovejoy-nov-27-2025-351-am-pt.html</v>
      </c>
      <c r="M641" t="inlineStr">
        <is>
          <t>1</t>
        </is>
      </c>
      <c r="N641" t="inlineStr">
        <is>
          <t>Apple</t>
        </is>
      </c>
      <c r="O641"/>
    </row>
    <row r="642" ht="12.75" customHeight="1">
      <c r="A642" t="inlineStr">
        <is>
          <t>เอกสารก่อตั้ง Apple เตรียมนำกลับมาประมูล คาดอาจแตะถึง 4 ล้านล้านดอลลาร์</t>
        </is>
      </c>
      <c r="B642" t="inlineStr">
        <is>
          <t>Sasithakan Sritonthip</t>
        </is>
      </c>
      <c r="C642" s="2">
        <v>45988</v>
      </c>
      <c r="D642" s="2">
        <v>45988</v>
      </c>
      <c r="E642" t="inlineStr">
        <is>
          <t>ปกติ</t>
        </is>
      </c>
      <c r="F642" s="3" t="str">
        <f>=HYPERLINK("https://www.macrumors.com/2025/11/26/apples-founding-papers-auction-4-million/", "https://www.macrumors.com/2025/11/26/apples-founding-papers-auction-4-million/")</f>
        <v>https://www.macrumors.com/2025/11/26/apples-founding-papers-auction-4-million/</v>
      </c>
      <c r="G642"/>
      <c r="H642" t="inlineStr">
        <is>
          <t>Website</t>
        </is>
      </c>
      <c r="I642" t="inlineStr">
        <is>
          <t>งานประจำวัน</t>
        </is>
      </c>
      <c r="J642" t="inlineStr">
        <is>
          <t>Done</t>
        </is>
      </c>
      <c r="K642"/>
      <c r="L642" s="3" t="str">
        <f>=HYPERLINK("https://www.iphonemod.net/apples-founding-papers-return-to-auction-could-fetch-up-to-4-million.html", "https://www.iphonemod.net/apples-founding-papers-return-to-auction-could-fetch-up-to-4-million.html")</f>
        <v>https://www.iphonemod.net/apples-founding-papers-return-to-auction-could-fetch-up-to-4-million.html</v>
      </c>
      <c r="M642" t="inlineStr">
        <is>
          <t>1</t>
        </is>
      </c>
      <c r="N642" t="inlineStr">
        <is>
          <t>Apple</t>
        </is>
      </c>
      <c r="O642"/>
    </row>
    <row r="643" ht="12.75" customHeight="1">
      <c r="A643" t="inlineStr">
        <is>
          <t>ฟีเจอร์เสียงของ ChatGPT ใช้งานได้ภายในบทสนทนาเดิมแล้ว</t>
        </is>
      </c>
      <c r="B643" t="inlineStr">
        <is>
          <t>Sasithakan Sritonthip</t>
        </is>
      </c>
      <c r="C643" s="2">
        <v>45988</v>
      </c>
      <c r="D643" s="2">
        <v>45988</v>
      </c>
      <c r="E643" t="inlineStr">
        <is>
          <t>ปกติ</t>
        </is>
      </c>
      <c r="F643" s="3" t="str">
        <f>=HYPERLINK("https://www.macrumors.com/2025/11/26/chatgpt-voice-mode-update-seamless-chat/", "https://www.macrumors.com/2025/11/26/chatgpt-voice-mode-update-seamless-chat/")</f>
        <v>https://www.macrumors.com/2025/11/26/chatgpt-voice-mode-update-seamless-chat/</v>
      </c>
      <c r="G643"/>
      <c r="H643" t="inlineStr">
        <is>
          <t>Website</t>
        </is>
      </c>
      <c r="I643" t="inlineStr">
        <is>
          <t>งานประจำวัน</t>
        </is>
      </c>
      <c r="J643" t="inlineStr">
        <is>
          <t>Done</t>
        </is>
      </c>
      <c r="K643"/>
      <c r="L643" s="3" t="str">
        <f>=HYPERLINK("https://www.iphonemod.net/chatgpt-voice-mode-now-works-inside-your-existing-conversation.html", "https://www.iphonemod.net/chatgpt-voice-mode-now-works-inside-your-existing-conversation.html")</f>
        <v>https://www.iphonemod.net/chatgpt-voice-mode-now-works-inside-your-existing-conversation.html</v>
      </c>
      <c r="M643" t="inlineStr">
        <is>
          <t>1</t>
        </is>
      </c>
      <c r="N643" t="inlineStr">
        <is>
          <t>Apple</t>
        </is>
      </c>
      <c r="O643"/>
    </row>
    <row r="644" ht="12.75" customHeight="1">
      <c r="A644" t="inlineStr">
        <is>
          <t>iPad mini รุ่นใหม่ อาจเปิดตัวเร็วสุดในไตรมาส 3 ปี 2026</t>
        </is>
      </c>
      <c r="B644" t="inlineStr">
        <is>
          <t>Nattida Suriyodara</t>
        </is>
      </c>
      <c r="C644" s="2">
        <v>45988</v>
      </c>
      <c r="D644" s="2">
        <v>45988</v>
      </c>
      <c r="E644"/>
      <c r="F644" s="3"/>
      <c r="G644"/>
      <c r="H644" t="inlineStr">
        <is>
          <t>Website</t>
        </is>
      </c>
      <c r="I644" t="inlineStr">
        <is>
          <t>งานประจำวัน</t>
        </is>
      </c>
      <c r="J644" t="inlineStr">
        <is>
          <t>Done</t>
        </is>
      </c>
      <c r="K644"/>
      <c r="L644" s="3"/>
      <c r="M644" t="inlineStr">
        <is>
          <t>1</t>
        </is>
      </c>
      <c r="N644" t="inlineStr">
        <is>
          <t>Apple</t>
        </is>
      </c>
      <c r="O644"/>
    </row>
    <row r="645" ht="12.75" customHeight="1">
      <c r="A645" t="inlineStr">
        <is>
          <t>Google Maps เริ่มปล่อย Gemini สำหรับการนำทางทุกรูปแบบ</t>
        </is>
      </c>
      <c r="B645" t="inlineStr">
        <is>
          <t>Sasithakan Sritonthip</t>
        </is>
      </c>
      <c r="C645" s="2">
        <v>45988</v>
      </c>
      <c r="D645" s="2">
        <v>45988</v>
      </c>
      <c r="E645" t="inlineStr">
        <is>
          <t>ปกติ</t>
        </is>
      </c>
      <c r="F645" s="3" t="str">
        <f>=HYPERLINK("https://9to5google.com/2025/11/26/google-maps-gemini-navigation-rollout/", "https://9to5google.com/2025/11/26/google-maps-gemini-navigation-rollout/")</f>
        <v>https://9to5google.com/2025/11/26/google-maps-gemini-navigation-rollout/</v>
      </c>
      <c r="G645"/>
      <c r="H645" t="inlineStr">
        <is>
          <t>Website</t>
        </is>
      </c>
      <c r="I645" t="inlineStr">
        <is>
          <t>งานประจำวัน</t>
        </is>
      </c>
      <c r="J645" t="inlineStr">
        <is>
          <t>Done</t>
        </is>
      </c>
      <c r="K645"/>
      <c r="L645" s="3" t="str">
        <f>=HYPERLINK("https://www.iphonemod.net/google-maps-starts-rolling-out-gemini-for-all-navigation-modes.html", "https://www.iphonemod.net/google-maps-starts-rolling-out-gemini-for-all-navigation-modes.html")</f>
        <v>https://www.iphonemod.net/google-maps-starts-rolling-out-gemini-for-all-navigation-modes.html</v>
      </c>
      <c r="M645" t="inlineStr">
        <is>
          <t>1</t>
        </is>
      </c>
      <c r="N645" t="inlineStr">
        <is>
          <t>AI</t>
        </is>
      </c>
      <c r="O645"/>
    </row>
    <row r="646" ht="12.75" customHeight="1">
      <c r="A646" t="inlineStr">
        <is>
          <t xml:space="preserve">ระวังภาพจาก AI </t>
        </is>
      </c>
      <c r="B646" t="inlineStr">
        <is>
          <t>Nattida Suriyodara</t>
        </is>
      </c>
      <c r="C646" s="2">
        <v>45988</v>
      </c>
      <c r="D646" s="2">
        <v>45988</v>
      </c>
      <c r="E646"/>
      <c r="F646" s="3"/>
      <c r="G646"/>
      <c r="H646" t="inlineStr">
        <is>
          <t>Shorts</t>
        </is>
      </c>
      <c r="I646" t="inlineStr">
        <is>
          <t>งานประจำวัน</t>
        </is>
      </c>
      <c r="J646" t="inlineStr">
        <is>
          <t>Done</t>
        </is>
      </c>
      <c r="K646"/>
      <c r="L646" s="3"/>
      <c r="M646" t="inlineStr">
        <is>
          <t>1</t>
        </is>
      </c>
      <c r="N646" t="inlineStr">
        <is>
          <t>AI, ทั่วไป</t>
        </is>
      </c>
      <c r="O646"/>
    </row>
    <row r="647" ht="12.75" customHeight="1">
      <c r="A647" t="inlineStr">
        <is>
          <t>Mcdodo</t>
        </is>
      </c>
      <c r="B647" t="inlineStr">
        <is>
          <t>Krongkwun  Rithiwong,Saktaphat Kordjan</t>
        </is>
      </c>
      <c r="C647" s="2">
        <v>45988</v>
      </c>
      <c r="D647" s="2">
        <v>45988</v>
      </c>
      <c r="E647" t="inlineStr">
        <is>
          <t>ปกติ</t>
        </is>
      </c>
      <c r="F647" s="3"/>
      <c r="G647"/>
      <c r="H647" t="inlineStr">
        <is>
          <t>Shorts</t>
        </is>
      </c>
      <c r="I647" t="inlineStr">
        <is>
          <t>งานลูกค้า</t>
        </is>
      </c>
      <c r="J647" t="inlineStr">
        <is>
          <t>Done</t>
        </is>
      </c>
      <c r="K647"/>
      <c r="L647" s="3"/>
      <c r="M647" t="inlineStr">
        <is>
          <t>1</t>
        </is>
      </c>
      <c r="N647" t="inlineStr">
        <is>
          <t>Tech</t>
        </is>
      </c>
      <c r="O647" t="inlineStr">
        <is>
          <t>Studio 7</t>
        </is>
      </c>
    </row>
    <row r="648" ht="12.75" customHeight="1">
      <c r="A648" t="inlineStr">
        <is>
          <t>POCO เปิดตัว POCO F8 Series พร้อมเทคโนโลยีเสียงจาก Bose</t>
        </is>
      </c>
      <c r="B648" t="inlineStr">
        <is>
          <t>Saktaphat Kordjan</t>
        </is>
      </c>
      <c r="C648" s="2">
        <v>45988</v>
      </c>
      <c r="D648" s="2">
        <v>46018</v>
      </c>
      <c r="E648"/>
      <c r="F648" s="3"/>
      <c r="G648"/>
      <c r="H648" t="inlineStr">
        <is>
          <t>Website</t>
        </is>
      </c>
      <c r="I648" t="inlineStr">
        <is>
          <t>งานประจำวัน</t>
        </is>
      </c>
      <c r="J648" t="inlineStr">
        <is>
          <t>Done</t>
        </is>
      </c>
      <c r="K648"/>
      <c r="L648" s="3"/>
      <c r="M648" t="inlineStr">
        <is>
          <t>1</t>
        </is>
      </c>
      <c r="N648" t="inlineStr">
        <is>
          <t>Android</t>
        </is>
      </c>
      <c r="O648"/>
    </row>
    <row r="649" ht="12.75" customHeight="1">
      <c r="A649" t="inlineStr">
        <is>
          <t>Apple Intelligence ขยายตัวไปยังประเทศจีน</t>
        </is>
      </c>
      <c r="B649" t="inlineStr">
        <is>
          <t>Nattida Suriyodara</t>
        </is>
      </c>
      <c r="C649" s="2">
        <v>45987</v>
      </c>
      <c r="D649" s="2">
        <v>45987</v>
      </c>
      <c r="E649"/>
      <c r="F649" s="3"/>
      <c r="G649"/>
      <c r="H649" t="inlineStr">
        <is>
          <t>Website</t>
        </is>
      </c>
      <c r="I649" t="inlineStr">
        <is>
          <t>งานประจำวัน</t>
        </is>
      </c>
      <c r="J649" t="inlineStr">
        <is>
          <t>Done</t>
        </is>
      </c>
      <c r="K649"/>
      <c r="L649" s="3"/>
      <c r="M649" t="inlineStr">
        <is>
          <t>1</t>
        </is>
      </c>
      <c r="N649" t="inlineStr">
        <is>
          <t>AI, Apple</t>
        </is>
      </c>
      <c r="O649"/>
    </row>
    <row r="650" ht="12.75" customHeight="1">
      <c r="A650" t="inlineStr">
        <is>
          <t>Festivitas แอปวันหยุด เพิ่มเอฟเฟกต์ไฟกระพริบและหิมะตกบนอุปกรณ์ Apple</t>
        </is>
      </c>
      <c r="B650" t="inlineStr">
        <is>
          <t>Sasithakan Sritonthip</t>
        </is>
      </c>
      <c r="C650" s="2">
        <v>45987</v>
      </c>
      <c r="D650" s="2">
        <v>45987</v>
      </c>
      <c r="E650" t="inlineStr">
        <is>
          <t>ปกติ</t>
        </is>
      </c>
      <c r="F650" s="3" t="str">
        <f>=HYPERLINK("https://www.macrumors.com/2025/11/25/festivitas-holiday-app/", "https://www.macrumors.com/2025/11/25/festivitas-holiday-app/")</f>
        <v>https://www.macrumors.com/2025/11/25/festivitas-holiday-app/</v>
      </c>
      <c r="G650"/>
      <c r="H650" t="inlineStr">
        <is>
          <t>Website</t>
        </is>
      </c>
      <c r="I650" t="inlineStr">
        <is>
          <t>งานประจำวัน</t>
        </is>
      </c>
      <c r="J650" t="inlineStr">
        <is>
          <t>Done</t>
        </is>
      </c>
      <c r="K650"/>
      <c r="L650" s="3" t="str">
        <f>=HYPERLINK("https://www.iphonemod.net/holiday-app-festivitas-adds-animated-string-lights-and-snow-effects-to-apple-devices.html", "https://www.iphonemod.net/holiday-app-festivitas-adds-animated-string-lights-and-snow-effects-to-apple-devices.html")</f>
        <v>https://www.iphonemod.net/holiday-app-festivitas-adds-animated-string-lights-and-snow-effects-to-apple-devices.html</v>
      </c>
      <c r="M650" t="inlineStr">
        <is>
          <t>1</t>
        </is>
      </c>
      <c r="N650" t="inlineStr">
        <is>
          <t>Apple</t>
        </is>
      </c>
      <c r="O650"/>
    </row>
    <row r="651" ht="12.75" customHeight="1">
      <c r="A651" t="inlineStr">
        <is>
          <t>เปิดตัว Honor 500 Series มาพร้อม Snapdragon และแบตใหญ่</t>
        </is>
      </c>
      <c r="B651" t="inlineStr">
        <is>
          <t>Saktaphat Kordjan</t>
        </is>
      </c>
      <c r="C651" s="2">
        <v>45987</v>
      </c>
      <c r="D651" s="2">
        <v>45987</v>
      </c>
      <c r="E651"/>
      <c r="F651" s="3"/>
      <c r="G651"/>
      <c r="H651" t="inlineStr">
        <is>
          <t>Website, Pic Posts / Album</t>
        </is>
      </c>
      <c r="I651" t="inlineStr">
        <is>
          <t>เสนอไอเดีย</t>
        </is>
      </c>
      <c r="J651" t="inlineStr">
        <is>
          <t>Done</t>
        </is>
      </c>
      <c r="K651"/>
      <c r="L651" s="3"/>
      <c r="M651" t="inlineStr">
        <is>
          <t>1</t>
        </is>
      </c>
      <c r="N651" t="inlineStr">
        <is>
          <t>Android</t>
        </is>
      </c>
      <c r="O651"/>
    </row>
    <row r="652" ht="12.75" customHeight="1">
      <c r="A652" t="inlineStr">
        <is>
          <t xml:space="preserve">ChatGPT เพิ่ม AI Shopping Research </t>
        </is>
      </c>
      <c r="B652" t="inlineStr">
        <is>
          <t>Nattida Suriyodara</t>
        </is>
      </c>
      <c r="C652" s="2">
        <v>45986</v>
      </c>
      <c r="D652" s="2">
        <v>45986</v>
      </c>
      <c r="E652"/>
      <c r="F652" s="3"/>
      <c r="G652"/>
      <c r="H652" t="inlineStr">
        <is>
          <t>Website</t>
        </is>
      </c>
      <c r="I652" t="inlineStr">
        <is>
          <t>งานประจำวัน</t>
        </is>
      </c>
      <c r="J652" t="inlineStr">
        <is>
          <t>Done</t>
        </is>
      </c>
      <c r="K652"/>
      <c r="L652" s="3"/>
      <c r="M652" t="inlineStr">
        <is>
          <t>1</t>
        </is>
      </c>
      <c r="N652" t="inlineStr">
        <is>
          <t>AI</t>
        </is>
      </c>
      <c r="O652"/>
    </row>
    <row r="653" ht="12.75" customHeight="1">
      <c r="A653" t="inlineStr">
        <is>
          <t>Claude Opus 4.5 ปรับปรุง Code และความสามารถของ Agent</t>
        </is>
      </c>
      <c r="B653" t="inlineStr">
        <is>
          <t>Nattida Suriyodara</t>
        </is>
      </c>
      <c r="C653" s="2">
        <v>45986</v>
      </c>
      <c r="D653" s="2">
        <v>45986</v>
      </c>
      <c r="E653"/>
      <c r="F653" s="3"/>
      <c r="G653"/>
      <c r="H653" t="inlineStr">
        <is>
          <t>Website</t>
        </is>
      </c>
      <c r="I653" t="inlineStr">
        <is>
          <t>งานประจำวัน</t>
        </is>
      </c>
      <c r="J653" t="inlineStr">
        <is>
          <t>Done</t>
        </is>
      </c>
      <c r="K653"/>
      <c r="L653" s="3"/>
      <c r="M653" t="inlineStr">
        <is>
          <t>1</t>
        </is>
      </c>
      <c r="N653" t="inlineStr">
        <is>
          <t>AI</t>
        </is>
      </c>
      <c r="O653"/>
    </row>
    <row r="654" ht="12.75" customHeight="1">
      <c r="A654" t="inlineStr">
        <is>
          <t>Black Friday | Cyber Monday มาแล้ว!</t>
        </is>
      </c>
      <c r="B654" t="inlineStr">
        <is>
          <t>Krongkwun  Rithiwong,Nattida Suriyodara</t>
        </is>
      </c>
      <c r="C654" s="2">
        <v>45986</v>
      </c>
      <c r="D654" s="2">
        <v>45988</v>
      </c>
      <c r="E654" t="inlineStr">
        <is>
          <t>ปกติ</t>
        </is>
      </c>
      <c r="F654" s="3"/>
      <c r="G654"/>
      <c r="H654" t="inlineStr">
        <is>
          <t>Shorts</t>
        </is>
      </c>
      <c r="I654" t="inlineStr">
        <is>
          <t>งานประจำวัน</t>
        </is>
      </c>
      <c r="J654" t="inlineStr">
        <is>
          <t>Done</t>
        </is>
      </c>
      <c r="K654" t="inlineStr">
        <is>
          <t>- ถ่ายคลิป + ตัดต่อให้เสร็จ 27 พ.ย.
- เติม insert 28 พ.ย. ตอนเช้า</t>
        </is>
      </c>
      <c r="L654" s="3"/>
      <c r="M654" t="inlineStr">
        <is>
          <t>1</t>
        </is>
      </c>
      <c r="N654" t="inlineStr">
        <is>
          <t>Apple</t>
        </is>
      </c>
      <c r="O654"/>
    </row>
    <row r="655" ht="12.75" customHeight="1">
      <c r="A655" t="inlineStr">
        <is>
          <t>(ตัดจากคลิปใหญ่) Split View - iPadOS 26.2 (Beta 3)</t>
        </is>
      </c>
      <c r="B655" t="inlineStr">
        <is>
          <t>Sasithakan Sritonthip</t>
        </is>
      </c>
      <c r="C655" s="2">
        <v>45985</v>
      </c>
      <c r="D655" s="2">
        <v>45985</v>
      </c>
      <c r="E655" t="inlineStr">
        <is>
          <t>ปกติ</t>
        </is>
      </c>
      <c r="F655" s="3" t="str">
        <f>=HYPERLINK("https://www.youtube.com/watch?v=0cYOfdIzcXI", "https://www.youtube.com/watch?v=0cYOfdIzcXI")</f>
        <v>https://www.youtube.com/watch?v=0cYOfdIzcXI</v>
      </c>
      <c r="G655"/>
      <c r="H655" t="inlineStr">
        <is>
          <t>Shorts</t>
        </is>
      </c>
      <c r="I655" t="inlineStr">
        <is>
          <t>งานประจำวัน</t>
        </is>
      </c>
      <c r="J655" t="inlineStr">
        <is>
          <t>Done</t>
        </is>
      </c>
      <c r="K655"/>
      <c r="L655" s="3"/>
      <c r="M655" t="inlineStr">
        <is>
          <t>1</t>
        </is>
      </c>
      <c r="N655" t="inlineStr">
        <is>
          <t>Apple</t>
        </is>
      </c>
      <c r="O655"/>
    </row>
    <row r="656" ht="12.75" customHeight="1">
      <c r="A656" t="inlineStr">
        <is>
          <t>(ตัดจากคลิปใหญ่) Slide Over - iPadOS 26.2 (Beta 3)</t>
        </is>
      </c>
      <c r="B656" t="inlineStr">
        <is>
          <t>Sasithakan Sritonthip</t>
        </is>
      </c>
      <c r="C656" s="2">
        <v>45985</v>
      </c>
      <c r="D656" s="2">
        <v>45985</v>
      </c>
      <c r="E656" t="inlineStr">
        <is>
          <t>ปกติ</t>
        </is>
      </c>
      <c r="F656" s="3" t="str">
        <f>=HYPERLINK("https://www.youtube.com/watch?v=0cYOfdIzcXI", "https://www.youtube.com/watch?v=0cYOfdIzcXI")</f>
        <v>https://www.youtube.com/watch?v=0cYOfdIzcXI</v>
      </c>
      <c r="G656"/>
      <c r="H656" t="inlineStr">
        <is>
          <t>Shorts</t>
        </is>
      </c>
      <c r="I656" t="inlineStr">
        <is>
          <t>งานประจำวัน</t>
        </is>
      </c>
      <c r="J656" t="inlineStr">
        <is>
          <t>Done</t>
        </is>
      </c>
      <c r="K656"/>
      <c r="L656" s="3"/>
      <c r="M656" t="inlineStr">
        <is>
          <t>1</t>
        </is>
      </c>
      <c r="N656" t="inlineStr">
        <is>
          <t>Apple</t>
        </is>
      </c>
      <c r="O656"/>
    </row>
    <row r="657" ht="12.75" customHeight="1">
      <c r="A657" t="inlineStr">
        <is>
          <t>รวมข่าวลือ iPad Air 2026</t>
        </is>
      </c>
      <c r="B657" t="inlineStr">
        <is>
          <t>Nattida Suriyodara</t>
        </is>
      </c>
      <c r="C657" s="2">
        <v>45985</v>
      </c>
      <c r="D657" s="2">
        <v>45985</v>
      </c>
      <c r="E657"/>
      <c r="F657" s="3"/>
      <c r="G657"/>
      <c r="H657" t="inlineStr">
        <is>
          <t>Website</t>
        </is>
      </c>
      <c r="I657" t="inlineStr">
        <is>
          <t>งานลูกค้า, งานประจำวัน</t>
        </is>
      </c>
      <c r="J657" t="inlineStr">
        <is>
          <t>Done</t>
        </is>
      </c>
      <c r="K657"/>
      <c r="L657" s="3"/>
      <c r="M657" t="inlineStr">
        <is>
          <t>1</t>
        </is>
      </c>
      <c r="N657" t="inlineStr">
        <is>
          <t>Apple</t>
        </is>
      </c>
      <c r="O657"/>
    </row>
    <row r="658" ht="12.75" customHeight="1">
      <c r="A658" t="inlineStr">
        <is>
          <t>Google ล้อ iPhone ด้วยโฆษณาแนว Musical จากเรื่อง Wicked</t>
        </is>
      </c>
      <c r="B658" t="inlineStr">
        <is>
          <t>Sasithakan Sritonthip</t>
        </is>
      </c>
      <c r="C658" s="2">
        <v>45985</v>
      </c>
      <c r="D658" s="2">
        <v>45985</v>
      </c>
      <c r="E658" t="inlineStr">
        <is>
          <t>ปกติ</t>
        </is>
      </c>
      <c r="F658" s="3" t="str">
        <f>=HYPERLINK("https://www.macrumors.com/2025/11/21/google-iphone-wicked-ad/", "https://www.macrumors.com/2025/11/21/google-iphone-wicked-ad/")</f>
        <v>https://www.macrumors.com/2025/11/21/google-iphone-wicked-ad/</v>
      </c>
      <c r="G658"/>
      <c r="H658" t="inlineStr">
        <is>
          <t>Website</t>
        </is>
      </c>
      <c r="I658" t="inlineStr">
        <is>
          <t>งานประจำวัน</t>
        </is>
      </c>
      <c r="J658" t="inlineStr">
        <is>
          <t>Done</t>
        </is>
      </c>
      <c r="K658"/>
      <c r="L658" s="3" t="str">
        <f>=HYPERLINK("https://www.iphonemod.net/google-mocks-iphone-in-musical-wicked-ad-claiming-pixel-firsts.html", "https://www.iphonemod.net/google-mocks-iphone-in-musical-wicked-ad-claiming-pixel-firsts.html")</f>
        <v>https://www.iphonemod.net/google-mocks-iphone-in-musical-wicked-ad-claiming-pixel-firsts.html</v>
      </c>
      <c r="M658" t="inlineStr">
        <is>
          <t>1</t>
        </is>
      </c>
      <c r="N658" t="inlineStr">
        <is>
          <t>Apple</t>
        </is>
      </c>
      <c r="O658"/>
    </row>
    <row r="659" ht="12.75" customHeight="1">
      <c r="A659" t="inlineStr">
        <is>
          <t>(ตัดจากคลิปใหญ่) iPhone Air ขายไม่ดี แต่คนชอบใช้</t>
        </is>
      </c>
      <c r="B659" t="inlineStr">
        <is>
          <t>Sasithakan Sritonthip</t>
        </is>
      </c>
      <c r="C659" s="2">
        <v>45985</v>
      </c>
      <c r="D659" s="2">
        <v>45985</v>
      </c>
      <c r="E659" t="inlineStr">
        <is>
          <t>ปกติ</t>
        </is>
      </c>
      <c r="F659" s="3" t="str">
        <f>=HYPERLINK("https://www.youtube.com/watch?v=tLDIHKPUYzw", "https://www.youtube.com/watch?v=tLDIHKPUYzw")</f>
        <v>https://www.youtube.com/watch?v=tLDIHKPUYzw</v>
      </c>
      <c r="G659"/>
      <c r="H659" t="inlineStr">
        <is>
          <t>Shorts</t>
        </is>
      </c>
      <c r="I659" t="inlineStr">
        <is>
          <t>งานประจำวัน</t>
        </is>
      </c>
      <c r="J659" t="inlineStr">
        <is>
          <t>Done</t>
        </is>
      </c>
      <c r="K659"/>
      <c r="L659" s="3"/>
      <c r="M659" t="inlineStr">
        <is>
          <t>1</t>
        </is>
      </c>
      <c r="N659" t="inlineStr">
        <is>
          <t>Apple</t>
        </is>
      </c>
      <c r="O659"/>
    </row>
    <row r="660" ht="12.75" customHeight="1">
      <c r="A660" t="inlineStr">
        <is>
          <t>VIAIM Nano+ | Full Review</t>
        </is>
      </c>
      <c r="B660" t="inlineStr">
        <is>
          <t>Krongkwun  Rithiwong,Nattida Suriyodara,Sasithakan Sritonthip,Tarn</t>
        </is>
      </c>
      <c r="C660" s="2">
        <v>45985</v>
      </c>
      <c r="D660" s="2">
        <v>45985</v>
      </c>
      <c r="E660" t="inlineStr">
        <is>
          <t>ปกติ</t>
        </is>
      </c>
      <c r="F660" s="3"/>
      <c r="G660"/>
      <c r="H660" t="inlineStr">
        <is>
          <t>YouTube</t>
        </is>
      </c>
      <c r="I660" t="inlineStr">
        <is>
          <t>งานลูกค้า</t>
        </is>
      </c>
      <c r="J660" t="inlineStr">
        <is>
          <t>Done</t>
        </is>
      </c>
      <c r="K660"/>
      <c r="L660" s="3"/>
      <c r="M660" t="inlineStr">
        <is>
          <t>1</t>
        </is>
      </c>
      <c r="N660" t="inlineStr">
        <is>
          <t>AI, Tech, ลูกค้า</t>
        </is>
      </c>
      <c r="O660"/>
    </row>
    <row r="661" ht="12.75" customHeight="1">
      <c r="A661" t="inlineStr">
        <is>
          <t>VIAIM AI transcript | photo album</t>
        </is>
      </c>
      <c r="B661" t="inlineStr">
        <is>
          <t>Krongkwun  Rithiwong,Tarn,Sasithakan Sritonthip,Nattida Suriyodara</t>
        </is>
      </c>
      <c r="C661" s="2">
        <v>45985</v>
      </c>
      <c r="D661" s="2">
        <v>45985</v>
      </c>
      <c r="E661" t="inlineStr">
        <is>
          <t>ปกติ</t>
        </is>
      </c>
      <c r="F661" s="3"/>
      <c r="G661"/>
      <c r="H661" t="inlineStr">
        <is>
          <t>Pic Posts / Album</t>
        </is>
      </c>
      <c r="I661" t="inlineStr">
        <is>
          <t>งานลูกค้า</t>
        </is>
      </c>
      <c r="J661" t="inlineStr">
        <is>
          <t>Done</t>
        </is>
      </c>
      <c r="K661"/>
      <c r="L661" s="3"/>
      <c r="M661" t="inlineStr">
        <is>
          <t>1</t>
        </is>
      </c>
      <c r="N661" t="inlineStr">
        <is>
          <t>Tech, AI, ลูกค้า</t>
        </is>
      </c>
      <c r="O661"/>
    </row>
    <row r="662" ht="12.75" customHeight="1">
      <c r="A662" t="inlineStr">
        <is>
          <t xml:space="preserve">Nano Banana Pro </t>
        </is>
      </c>
      <c r="B662" t="inlineStr">
        <is>
          <t>Nattida Suriyodara</t>
        </is>
      </c>
      <c r="C662" s="2">
        <v>45982</v>
      </c>
      <c r="D662" s="2">
        <v>45982</v>
      </c>
      <c r="E662"/>
      <c r="F662" s="3"/>
      <c r="G662"/>
      <c r="H662" t="inlineStr">
        <is>
          <t>YouTube</t>
        </is>
      </c>
      <c r="I662" t="inlineStr">
        <is>
          <t>งานประจำวัน</t>
        </is>
      </c>
      <c r="J662" t="inlineStr">
        <is>
          <t>Done</t>
        </is>
      </c>
      <c r="K662"/>
      <c r="L662" s="3"/>
      <c r="M662" t="inlineStr">
        <is>
          <t>1</t>
        </is>
      </c>
      <c r="N662" t="inlineStr">
        <is>
          <t>AI</t>
        </is>
      </c>
      <c r="O662"/>
    </row>
    <row r="663" ht="12.75" customHeight="1">
      <c r="A663" t="inlineStr">
        <is>
          <t>iPhone 20 : เปลี่ยนแปลงการจำหน่าย</t>
        </is>
      </c>
      <c r="B663" t="inlineStr">
        <is>
          <t>Krongkwun  Rithiwong</t>
        </is>
      </c>
      <c r="C663" s="2">
        <v>45982</v>
      </c>
      <c r="D663" s="2">
        <v>45982</v>
      </c>
      <c r="E663" t="inlineStr">
        <is>
          <t>ปกติ</t>
        </is>
      </c>
      <c r="F663" s="3"/>
      <c r="G663"/>
      <c r="H663" t="inlineStr">
        <is>
          <t>Shorts</t>
        </is>
      </c>
      <c r="I663" t="inlineStr">
        <is>
          <t>งานประจำวัน</t>
        </is>
      </c>
      <c r="J663" t="inlineStr">
        <is>
          <t>Done</t>
        </is>
      </c>
      <c r="K663"/>
      <c r="L663" s="3"/>
      <c r="M663" t="inlineStr">
        <is>
          <t>1</t>
        </is>
      </c>
      <c r="N663" t="inlineStr">
        <is>
          <t>Apple</t>
        </is>
      </c>
      <c r="O663"/>
    </row>
    <row r="664" ht="12.75" customHeight="1">
      <c r="A664" t="inlineStr">
        <is>
          <t xml:space="preserve">Black Friday | Cyber Monday </t>
        </is>
      </c>
      <c r="B664" t="inlineStr">
        <is>
          <t>Krongkwun  Rithiwong</t>
        </is>
      </c>
      <c r="C664" s="2">
        <v>45982</v>
      </c>
      <c r="D664" s="2">
        <v>45982</v>
      </c>
      <c r="E664" t="inlineStr">
        <is>
          <t>ปกติ</t>
        </is>
      </c>
      <c r="F664" s="3"/>
      <c r="G664"/>
      <c r="H664" t="inlineStr">
        <is>
          <t>Shorts</t>
        </is>
      </c>
      <c r="I664" t="inlineStr">
        <is>
          <t>งานประจำวัน</t>
        </is>
      </c>
      <c r="J664" t="inlineStr">
        <is>
          <t>Done</t>
        </is>
      </c>
      <c r="K664"/>
      <c r="L664" s="3"/>
      <c r="M664" t="inlineStr">
        <is>
          <t>1</t>
        </is>
      </c>
      <c r="N664" t="inlineStr">
        <is>
          <t>Apple</t>
        </is>
      </c>
      <c r="O664"/>
    </row>
    <row r="665" ht="12.75" customHeight="1">
      <c r="A665" t="inlineStr">
        <is>
          <t xml:space="preserve">Gemini 3 </t>
        </is>
      </c>
      <c r="B665" t="inlineStr">
        <is>
          <t>Nattida Suriyodara</t>
        </is>
      </c>
      <c r="C665" s="2">
        <v>45981</v>
      </c>
      <c r="D665" s="2">
        <v>45981</v>
      </c>
      <c r="E665"/>
      <c r="F665" s="3"/>
      <c r="G665"/>
      <c r="H665" t="inlineStr">
        <is>
          <t>YouTube</t>
        </is>
      </c>
      <c r="I665" t="inlineStr">
        <is>
          <t>งานประจำวัน</t>
        </is>
      </c>
      <c r="J665" t="inlineStr">
        <is>
          <t>Done</t>
        </is>
      </c>
      <c r="K665"/>
      <c r="L665" s="3"/>
      <c r="M665" t="inlineStr">
        <is>
          <t>1</t>
        </is>
      </c>
      <c r="N665" t="inlineStr">
        <is>
          <t>AI</t>
        </is>
      </c>
      <c r="O665"/>
    </row>
    <row r="666" ht="12.75" customHeight="1">
      <c r="A666" t="inlineStr">
        <is>
          <t>iPadOS 26.2 (beta 3)</t>
        </is>
      </c>
      <c r="B666" t="inlineStr">
        <is>
          <t>Nattida Suriyodara</t>
        </is>
      </c>
      <c r="C666" s="2">
        <v>45981</v>
      </c>
      <c r="D666" s="2">
        <v>45981</v>
      </c>
      <c r="E666"/>
      <c r="F666" s="3"/>
      <c r="G666"/>
      <c r="H666" t="inlineStr">
        <is>
          <t>YouTube</t>
        </is>
      </c>
      <c r="I666" t="inlineStr">
        <is>
          <t>งานประจำวัน</t>
        </is>
      </c>
      <c r="J666" t="inlineStr">
        <is>
          <t>Done</t>
        </is>
      </c>
      <c r="K666"/>
      <c r="L666" s="3"/>
      <c r="M666" t="inlineStr">
        <is>
          <t>1</t>
        </is>
      </c>
      <c r="N666" t="inlineStr">
        <is>
          <t>Apple</t>
        </is>
      </c>
      <c r="O666"/>
    </row>
    <row r="667" ht="12.75" customHeight="1">
      <c r="A667" t="inlineStr">
        <is>
          <t xml:space="preserve">ข่าวลือเปิดตัว iPad 12 </t>
        </is>
      </c>
      <c r="B667" t="inlineStr">
        <is>
          <t>Nattida Suriyodara</t>
        </is>
      </c>
      <c r="C667" s="2">
        <v>45981</v>
      </c>
      <c r="D667" s="2">
        <v>45981</v>
      </c>
      <c r="E667"/>
      <c r="F667" s="3"/>
      <c r="G667"/>
      <c r="H667" t="inlineStr">
        <is>
          <t>Website</t>
        </is>
      </c>
      <c r="I667" t="inlineStr">
        <is>
          <t>งานประจำวัน</t>
        </is>
      </c>
      <c r="J667" t="inlineStr">
        <is>
          <t>Done</t>
        </is>
      </c>
      <c r="K667"/>
      <c r="L667" s="3"/>
      <c r="M667" t="inlineStr">
        <is>
          <t>1</t>
        </is>
      </c>
      <c r="N667" t="inlineStr">
        <is>
          <t>Apple</t>
        </is>
      </c>
      <c r="O667"/>
    </row>
    <row r="668" ht="12.75" customHeight="1">
      <c r="A668" t="inlineStr">
        <is>
          <t>อินฟลูหนุ่มหลอกจอง iPhone 17</t>
        </is>
      </c>
      <c r="B668" t="inlineStr">
        <is>
          <t>Nattida Suriyodara</t>
        </is>
      </c>
      <c r="C668" s="2">
        <v>45981</v>
      </c>
      <c r="D668" s="2">
        <v>45981</v>
      </c>
      <c r="E668"/>
      <c r="F668" s="3"/>
      <c r="G668"/>
      <c r="H668" t="inlineStr">
        <is>
          <t>YouTube</t>
        </is>
      </c>
      <c r="I668" t="inlineStr">
        <is>
          <t>งานประจำวัน</t>
        </is>
      </c>
      <c r="J668" t="inlineStr">
        <is>
          <t>Done</t>
        </is>
      </c>
      <c r="K668"/>
      <c r="L668" s="3"/>
      <c r="M668" t="inlineStr">
        <is>
          <t>1</t>
        </is>
      </c>
      <c r="N668" t="inlineStr">
        <is>
          <t>Apple</t>
        </is>
      </c>
      <c r="O668"/>
    </row>
    <row r="669" ht="12.75" customHeight="1">
      <c r="A669" t="inlineStr">
        <is>
          <t>Cloudflare</t>
        </is>
      </c>
      <c r="B669" t="inlineStr">
        <is>
          <t>Krongkwun  Rithiwong</t>
        </is>
      </c>
      <c r="C669" s="2">
        <v>45980</v>
      </c>
      <c r="D669" s="2">
        <v>45980</v>
      </c>
      <c r="E669" t="inlineStr">
        <is>
          <t>ปกติ</t>
        </is>
      </c>
      <c r="F669" s="3"/>
      <c r="G669"/>
      <c r="H669" t="inlineStr">
        <is>
          <t>Shorts</t>
        </is>
      </c>
      <c r="I669" t="inlineStr">
        <is>
          <t>งานประจำวัน</t>
        </is>
      </c>
      <c r="J669" t="inlineStr">
        <is>
          <t>Done</t>
        </is>
      </c>
      <c r="K669"/>
      <c r="L669" s="3"/>
      <c r="M669" t="inlineStr">
        <is>
          <t>1</t>
        </is>
      </c>
      <c r="N669" t="inlineStr">
        <is>
          <t>Tech</t>
        </is>
      </c>
      <c r="O669"/>
    </row>
    <row r="670" ht="12.75" customHeight="1">
      <c r="A670" t="inlineStr">
        <is>
          <t>iPadOS 26.2 Beta 3 อัปเดต Slide Over</t>
        </is>
      </c>
      <c r="B670" t="inlineStr">
        <is>
          <t>Nattida Suriyodara</t>
        </is>
      </c>
      <c r="C670" s="2">
        <v>45979</v>
      </c>
      <c r="D670" s="2">
        <v>45979</v>
      </c>
      <c r="E670"/>
      <c r="F670" s="3"/>
      <c r="G670"/>
      <c r="H670" t="inlineStr">
        <is>
          <t>Website</t>
        </is>
      </c>
      <c r="I670" t="inlineStr">
        <is>
          <t>งานประจำวัน</t>
        </is>
      </c>
      <c r="J670" t="inlineStr">
        <is>
          <t>Done</t>
        </is>
      </c>
      <c r="K670"/>
      <c r="L670" s="3"/>
      <c r="M670" t="inlineStr">
        <is>
          <t>1</t>
        </is>
      </c>
      <c r="N670" t="inlineStr">
        <is>
          <t>Apple</t>
        </is>
      </c>
      <c r="O670"/>
    </row>
    <row r="671" ht="12.75" customHeight="1">
      <c r="A671" t="inlineStr">
        <is>
          <t>Jeff Williams ลาออก</t>
        </is>
      </c>
      <c r="B671" t="inlineStr">
        <is>
          <t>Krongkwun  Rithiwong</t>
        </is>
      </c>
      <c r="C671" s="2">
        <v>45979</v>
      </c>
      <c r="D671" s="2">
        <v>45979</v>
      </c>
      <c r="E671" t="inlineStr">
        <is>
          <t>ปกติ</t>
        </is>
      </c>
      <c r="F671" s="3"/>
      <c r="G671"/>
      <c r="H671" t="inlineStr">
        <is>
          <t>Shorts</t>
        </is>
      </c>
      <c r="I671" t="inlineStr">
        <is>
          <t>งานประจำวัน</t>
        </is>
      </c>
      <c r="J671" t="inlineStr">
        <is>
          <t>Done</t>
        </is>
      </c>
      <c r="K671"/>
      <c r="L671" s="3"/>
      <c r="M671" t="inlineStr">
        <is>
          <t>1</t>
        </is>
      </c>
      <c r="N671" t="inlineStr">
        <is>
          <t>Apple</t>
        </is>
      </c>
      <c r="O671"/>
    </row>
    <row r="672" ht="12.75" customHeight="1">
      <c r="A672" t="inlineStr">
        <is>
          <t>Tim cook ลงจากตำแหน่ง</t>
        </is>
      </c>
      <c r="B672" t="inlineStr">
        <is>
          <t>Krongkwun  Rithiwong</t>
        </is>
      </c>
      <c r="C672" s="2">
        <v>45979</v>
      </c>
      <c r="D672" s="2">
        <v>45979</v>
      </c>
      <c r="E672" t="inlineStr">
        <is>
          <t>ปกติ</t>
        </is>
      </c>
      <c r="F672" s="3"/>
      <c r="G672"/>
      <c r="H672" t="inlineStr">
        <is>
          <t>Shorts</t>
        </is>
      </c>
      <c r="I672" t="inlineStr">
        <is>
          <t>งานประจำวัน</t>
        </is>
      </c>
      <c r="J672" t="inlineStr">
        <is>
          <t>Done</t>
        </is>
      </c>
      <c r="K672"/>
      <c r="L672" s="3"/>
      <c r="M672" t="inlineStr">
        <is>
          <t>1</t>
        </is>
      </c>
      <c r="N672" t="inlineStr">
        <is>
          <t>Apple</t>
        </is>
      </c>
      <c r="O672"/>
    </row>
    <row r="673" ht="12.75" customHeight="1">
      <c r="A673" t="inlineStr">
        <is>
          <t xml:space="preserve">รีวิว vivo X300 Series </t>
        </is>
      </c>
      <c r="B673" t="inlineStr">
        <is>
          <t>Saktaphat Kordjan</t>
        </is>
      </c>
      <c r="C673" s="2">
        <v>45978</v>
      </c>
      <c r="D673" s="2">
        <v>45978</v>
      </c>
      <c r="E673"/>
      <c r="F673" s="3"/>
      <c r="G673"/>
      <c r="H673" t="inlineStr">
        <is>
          <t>YouTube</t>
        </is>
      </c>
      <c r="I673" t="inlineStr">
        <is>
          <t>งานลูกค้า</t>
        </is>
      </c>
      <c r="J673" t="inlineStr">
        <is>
          <t>Done</t>
        </is>
      </c>
      <c r="K673"/>
      <c r="L673" s="3"/>
      <c r="M673" t="inlineStr">
        <is>
          <t>1</t>
        </is>
      </c>
      <c r="N673" t="inlineStr">
        <is>
          <t>Android</t>
        </is>
      </c>
      <c r="O673" t="inlineStr">
        <is>
          <t>Vivo</t>
        </is>
      </c>
    </row>
    <row r="674" ht="12.75" customHeight="1">
      <c r="A674" t="inlineStr">
        <is>
          <t>AIS PAYDAY เปย์ดีย์ iPhone 17</t>
        </is>
      </c>
      <c r="B674" t="inlineStr">
        <is>
          <t>Krongkwun  Rithiwong,Thitirath Kinaret,Tarn</t>
        </is>
      </c>
      <c r="C674" s="2">
        <v>45978</v>
      </c>
      <c r="D674" s="2">
        <v>45978</v>
      </c>
      <c r="E674" t="inlineStr">
        <is>
          <t>ปกติ</t>
        </is>
      </c>
      <c r="F674" s="3"/>
      <c r="G674"/>
      <c r="H674" t="inlineStr">
        <is>
          <t>Pic Posts / Album</t>
        </is>
      </c>
      <c r="I674" t="inlineStr">
        <is>
          <t>งานลูกค้า</t>
        </is>
      </c>
      <c r="J674" t="inlineStr">
        <is>
          <t>Done</t>
        </is>
      </c>
      <c r="K674"/>
      <c r="L674" s="3"/>
      <c r="M674" t="inlineStr">
        <is>
          <t>1</t>
        </is>
      </c>
      <c r="N674" t="inlineStr">
        <is>
          <t>Apple, ลูกค้า</t>
        </is>
      </c>
      <c r="O674" t="inlineStr">
        <is>
          <t>AIS</t>
        </is>
      </c>
    </row>
    <row r="675" ht="12.75" customHeight="1">
      <c r="A675" t="inlineStr">
        <is>
          <t xml:space="preserve">apple watch โดนปรับ $643 ล้าน </t>
        </is>
      </c>
      <c r="B675" t="inlineStr">
        <is>
          <t>Nattida Suriyodara</t>
        </is>
      </c>
      <c r="C675" s="2">
        <v>45978</v>
      </c>
      <c r="D675" s="2">
        <v>45978</v>
      </c>
      <c r="E675"/>
      <c r="F675" s="3"/>
      <c r="G675"/>
      <c r="H675" t="inlineStr">
        <is>
          <t>Website</t>
        </is>
      </c>
      <c r="I675" t="inlineStr">
        <is>
          <t>งานประจำวัน</t>
        </is>
      </c>
      <c r="J675" t="inlineStr">
        <is>
          <t>Done</t>
        </is>
      </c>
      <c r="K675"/>
      <c r="L675" s="3"/>
      <c r="M675" t="inlineStr">
        <is>
          <t>1</t>
        </is>
      </c>
      <c r="N675" t="inlineStr">
        <is>
          <t>Apple</t>
        </is>
      </c>
      <c r="O675"/>
    </row>
    <row r="676" ht="12.75" customHeight="1">
      <c r="A676" t="inlineStr">
        <is>
          <t xml:space="preserve">Galaxy Tab A11 เครื่องเล็ก ใส่ซิมได้ </t>
        </is>
      </c>
      <c r="B676" t="inlineStr">
        <is>
          <t>Saktaphat Kordjan</t>
        </is>
      </c>
      <c r="C676" s="2">
        <v>45977</v>
      </c>
      <c r="D676" s="2">
        <v>45978</v>
      </c>
      <c r="E676"/>
      <c r="F676" s="3"/>
      <c r="G676"/>
      <c r="H676" t="inlineStr">
        <is>
          <t>YouTube</t>
        </is>
      </c>
      <c r="I676" t="inlineStr">
        <is>
          <t>เสนอไอเดีย</t>
        </is>
      </c>
      <c r="J676" t="inlineStr">
        <is>
          <t>Done</t>
        </is>
      </c>
      <c r="K676"/>
      <c r="L676" s="3"/>
      <c r="M676" t="inlineStr">
        <is>
          <t>1</t>
        </is>
      </c>
      <c r="N676" t="inlineStr">
        <is>
          <t>Android</t>
        </is>
      </c>
      <c r="O676"/>
    </row>
    <row r="677" ht="12.75" customHeight="1">
      <c r="A677" t="inlineStr">
        <is>
          <t>vivo S50 series คาดว่าจะเปิดตัวเดือนหน้า</t>
        </is>
      </c>
      <c r="B677" t="inlineStr">
        <is>
          <t>Saktaphat Kordjan</t>
        </is>
      </c>
      <c r="C677" s="2">
        <v>45975</v>
      </c>
      <c r="D677" s="2">
        <v>45975</v>
      </c>
      <c r="E677"/>
      <c r="F677" s="3"/>
      <c r="G677"/>
      <c r="H677" t="inlineStr">
        <is>
          <t>Website</t>
        </is>
      </c>
      <c r="I677" t="inlineStr">
        <is>
          <t>งานประจำวัน</t>
        </is>
      </c>
      <c r="J677" t="inlineStr">
        <is>
          <t>Done</t>
        </is>
      </c>
      <c r="K677"/>
      <c r="L677" s="3"/>
      <c r="M677" t="inlineStr">
        <is>
          <t>1</t>
        </is>
      </c>
      <c r="N677" t="inlineStr">
        <is>
          <t>Android</t>
        </is>
      </c>
      <c r="O677"/>
    </row>
    <row r="678" ht="12.75" customHeight="1">
      <c r="A678" t="inlineStr">
        <is>
          <t xml:space="preserve">vivo X300 พาชมสี </t>
        </is>
      </c>
      <c r="B678" t="inlineStr">
        <is>
          <t>Saktaphat Kordjan</t>
        </is>
      </c>
      <c r="C678" s="2">
        <v>45975</v>
      </c>
      <c r="D678" s="2">
        <v>45975</v>
      </c>
      <c r="E678"/>
      <c r="F678" s="3"/>
      <c r="G678"/>
      <c r="H678" t="inlineStr">
        <is>
          <t>Shorts</t>
        </is>
      </c>
      <c r="I678" t="inlineStr">
        <is>
          <t>เสนอไอเดีย</t>
        </is>
      </c>
      <c r="J678" t="inlineStr">
        <is>
          <t>Done</t>
        </is>
      </c>
      <c r="K678"/>
      <c r="L678" s="3"/>
      <c r="M678" t="inlineStr">
        <is>
          <t>1</t>
        </is>
      </c>
      <c r="N678" t="inlineStr">
        <is>
          <t>Android</t>
        </is>
      </c>
      <c r="O678"/>
    </row>
    <row r="679" ht="12.75" customHeight="1">
      <c r="A679" t="inlineStr">
        <is>
          <t xml:space="preserve">Sony เปิดตัวจอมอนิเตอร์ PlayStation Gaming ขนาด 27 นิ้ว </t>
        </is>
      </c>
      <c r="B679" t="inlineStr">
        <is>
          <t>Saktaphat Kordjan</t>
        </is>
      </c>
      <c r="C679" s="2">
        <v>45975</v>
      </c>
      <c r="D679" s="2">
        <v>45975</v>
      </c>
      <c r="E679"/>
      <c r="F679" s="3"/>
      <c r="G679"/>
      <c r="H679" t="inlineStr">
        <is>
          <t>Website</t>
        </is>
      </c>
      <c r="I679" t="inlineStr">
        <is>
          <t>งานประจำวัน</t>
        </is>
      </c>
      <c r="J679" t="inlineStr">
        <is>
          <t>Done</t>
        </is>
      </c>
      <c r="K679"/>
      <c r="L679" s="3"/>
      <c r="M679" t="inlineStr">
        <is>
          <t>1</t>
        </is>
      </c>
      <c r="N679" t="inlineStr">
        <is>
          <t>Tech</t>
        </is>
      </c>
      <c r="O679"/>
    </row>
    <row r="680" ht="12.75" customHeight="1">
      <c r="A680" t="inlineStr">
        <is>
          <t>Samsung Galaxy Z Flip8 จะบางกว่าและเบากว่าเดิม</t>
        </is>
      </c>
      <c r="B680" t="inlineStr">
        <is>
          <t>Saktaphat Kordjan</t>
        </is>
      </c>
      <c r="C680" s="2">
        <v>45975</v>
      </c>
      <c r="D680" s="2">
        <v>45975</v>
      </c>
      <c r="E680"/>
      <c r="F680" s="3"/>
      <c r="G680"/>
      <c r="H680" t="inlineStr">
        <is>
          <t>Website</t>
        </is>
      </c>
      <c r="I680" t="inlineStr">
        <is>
          <t>งานประจำวัน</t>
        </is>
      </c>
      <c r="J680" t="inlineStr">
        <is>
          <t>Done</t>
        </is>
      </c>
      <c r="K680"/>
      <c r="L680" s="3"/>
      <c r="M680" t="inlineStr">
        <is>
          <t>1</t>
        </is>
      </c>
      <c r="N680" t="inlineStr">
        <is>
          <t>Android</t>
        </is>
      </c>
      <c r="O680"/>
    </row>
    <row r="681" ht="12.75" customHeight="1">
      <c r="A681" t="inlineStr">
        <is>
          <t>iPhone 11 2025 ใครใช้บ้าง?</t>
        </is>
      </c>
      <c r="B681" t="inlineStr">
        <is>
          <t>Nattida Suriyodara</t>
        </is>
      </c>
      <c r="C681" s="2">
        <v>45975</v>
      </c>
      <c r="D681" s="2">
        <v>45975</v>
      </c>
      <c r="E681"/>
      <c r="F681" s="3"/>
      <c r="G681"/>
      <c r="H681" t="inlineStr">
        <is>
          <t>Shorts</t>
        </is>
      </c>
      <c r="I681" t="inlineStr">
        <is>
          <t>งานประจำวัน</t>
        </is>
      </c>
      <c r="J681" t="inlineStr">
        <is>
          <t>Done</t>
        </is>
      </c>
      <c r="K681"/>
      <c r="L681" s="3"/>
      <c r="M681" t="inlineStr">
        <is>
          <t>1</t>
        </is>
      </c>
      <c r="N681" t="inlineStr">
        <is>
          <t>Apple</t>
        </is>
      </c>
      <c r="O681"/>
    </row>
    <row r="682" ht="12.75" customHeight="1">
      <c r="A682" t="inlineStr">
        <is>
          <t>Apple และ OpenAI</t>
        </is>
      </c>
      <c r="B682" t="inlineStr">
        <is>
          <t>Nattida Suriyodara</t>
        </is>
      </c>
      <c r="C682" s="2">
        <v>45975</v>
      </c>
      <c r="D682" s="2">
        <v>45975</v>
      </c>
      <c r="E682"/>
      <c r="F682" s="3"/>
      <c r="G682"/>
      <c r="H682" t="inlineStr">
        <is>
          <t>Website</t>
        </is>
      </c>
      <c r="I682" t="inlineStr">
        <is>
          <t>งานประจำวัน</t>
        </is>
      </c>
      <c r="J682" t="inlineStr">
        <is>
          <t>Done</t>
        </is>
      </c>
      <c r="K682"/>
      <c r="L682" s="3"/>
      <c r="M682" t="inlineStr">
        <is>
          <t>1</t>
        </is>
      </c>
      <c r="N682" t="inlineStr">
        <is>
          <t>AI, Apple</t>
        </is>
      </c>
      <c r="O682"/>
    </row>
    <row r="683" ht="12.75" customHeight="1">
      <c r="A683" t="inlineStr">
        <is>
          <t xml:space="preserve">สรุป ChatGPT 5.1 </t>
        </is>
      </c>
      <c r="B683" t="inlineStr">
        <is>
          <t>Nattida Suriyodara</t>
        </is>
      </c>
      <c r="C683" s="2">
        <v>45974</v>
      </c>
      <c r="D683" s="2">
        <v>45974</v>
      </c>
      <c r="E683"/>
      <c r="F683" s="3"/>
      <c r="G683"/>
      <c r="H683" t="inlineStr">
        <is>
          <t>Website</t>
        </is>
      </c>
      <c r="I683" t="inlineStr">
        <is>
          <t>งานประจำวัน</t>
        </is>
      </c>
      <c r="J683" t="inlineStr">
        <is>
          <t>Done</t>
        </is>
      </c>
      <c r="K683"/>
      <c r="L683" s="3"/>
      <c r="M683" t="inlineStr">
        <is>
          <t>1</t>
        </is>
      </c>
      <c r="N683" t="inlineStr">
        <is>
          <t>AI</t>
        </is>
      </c>
      <c r="O683"/>
    </row>
    <row r="684" ht="12.75" customHeight="1">
      <c r="A684" t="inlineStr">
        <is>
          <t xml:space="preserve">GPT 5.1 </t>
        </is>
      </c>
      <c r="B684" t="inlineStr">
        <is>
          <t>Nattida Suriyodara</t>
        </is>
      </c>
      <c r="C684" s="2">
        <v>45974</v>
      </c>
      <c r="D684" s="2">
        <v>45974</v>
      </c>
      <c r="E684"/>
      <c r="F684" s="3"/>
      <c r="G684"/>
      <c r="H684" t="inlineStr">
        <is>
          <t>YouTube</t>
        </is>
      </c>
      <c r="I684" t="inlineStr">
        <is>
          <t>งานประจำวัน</t>
        </is>
      </c>
      <c r="J684" t="inlineStr">
        <is>
          <t>Done</t>
        </is>
      </c>
      <c r="K684"/>
      <c r="L684" s="3"/>
      <c r="M684" t="inlineStr">
        <is>
          <t>1</t>
        </is>
      </c>
      <c r="N684" t="inlineStr">
        <is>
          <t>AI</t>
        </is>
      </c>
      <c r="O684"/>
    </row>
    <row r="685" ht="12.75" customHeight="1">
      <c r="A685" t="inlineStr">
        <is>
          <t xml:space="preserve">Valve ประกาศเปิดตัว Steam Frame VR Headset </t>
        </is>
      </c>
      <c r="B685" t="inlineStr">
        <is>
          <t>Saktaphat Kordjan</t>
        </is>
      </c>
      <c r="C685" s="2">
        <v>45974</v>
      </c>
      <c r="D685" s="2">
        <v>45974</v>
      </c>
      <c r="E685"/>
      <c r="F685" s="3"/>
      <c r="G685"/>
      <c r="H685" t="inlineStr">
        <is>
          <t>Website</t>
        </is>
      </c>
      <c r="I685" t="inlineStr">
        <is>
          <t>งานประจำวัน</t>
        </is>
      </c>
      <c r="J685" t="inlineStr">
        <is>
          <t>Done</t>
        </is>
      </c>
      <c r="K685"/>
      <c r="L685" s="3"/>
      <c r="M685" t="inlineStr">
        <is>
          <t>1</t>
        </is>
      </c>
      <c r="N685" t="inlineStr">
        <is>
          <t>Tech</t>
        </is>
      </c>
      <c r="O685"/>
    </row>
    <row r="686" ht="12.75" customHeight="1">
      <c r="A686" t="inlineStr">
        <is>
          <t>Google Photos ใช้ AI แก้ไขรูป</t>
        </is>
      </c>
      <c r="B686" t="inlineStr">
        <is>
          <t>Nattida Suriyodara</t>
        </is>
      </c>
      <c r="C686" s="2">
        <v>45973</v>
      </c>
      <c r="D686" s="2">
        <v>45973</v>
      </c>
      <c r="E686"/>
      <c r="F686" s="3"/>
      <c r="G686"/>
      <c r="H686" t="inlineStr">
        <is>
          <t>Shorts, Website</t>
        </is>
      </c>
      <c r="I686" t="inlineStr">
        <is>
          <t>งานประจำวัน</t>
        </is>
      </c>
      <c r="J686" t="inlineStr">
        <is>
          <t>Done</t>
        </is>
      </c>
      <c r="K686"/>
      <c r="L686" s="3"/>
      <c r="M686" t="inlineStr">
        <is>
          <t>1</t>
        </is>
      </c>
      <c r="N686" t="inlineStr">
        <is>
          <t>AI</t>
        </is>
      </c>
      <c r="O686"/>
    </row>
    <row r="687" ht="12.75" customHeight="1">
      <c r="A687" t="inlineStr">
        <is>
          <t>Issey Miyake : iPhone Pocket</t>
        </is>
      </c>
      <c r="B687" t="inlineStr">
        <is>
          <t>Krongkwun  Rithiwong</t>
        </is>
      </c>
      <c r="C687" s="2">
        <v>45973</v>
      </c>
      <c r="D687" s="2">
        <v>45973</v>
      </c>
      <c r="E687" t="inlineStr">
        <is>
          <t>ปกติ</t>
        </is>
      </c>
      <c r="F687" s="3"/>
      <c r="G687"/>
      <c r="H687" t="inlineStr">
        <is>
          <t>Shorts</t>
        </is>
      </c>
      <c r="I687" t="inlineStr">
        <is>
          <t>งานประจำวัน</t>
        </is>
      </c>
      <c r="J687" t="inlineStr">
        <is>
          <t>Done</t>
        </is>
      </c>
      <c r="K687"/>
      <c r="L687" s="3"/>
      <c r="M687" t="inlineStr">
        <is>
          <t>1</t>
        </is>
      </c>
      <c r="N687" t="inlineStr">
        <is>
          <t>Apple</t>
        </is>
      </c>
      <c r="O687"/>
    </row>
    <row r="688" ht="12.75" customHeight="1">
      <c r="A688" t="inlineStr">
        <is>
          <t xml:space="preserve">แนะนำอุปกรณ์เสริมสำหรับ iPhone Air </t>
        </is>
      </c>
      <c r="B688" t="inlineStr">
        <is>
          <t>Saktaphat Kordjan</t>
        </is>
      </c>
      <c r="C688" s="2">
        <v>45972</v>
      </c>
      <c r="D688" s="2">
        <v>45966</v>
      </c>
      <c r="E688"/>
      <c r="F688" s="3"/>
      <c r="G688"/>
      <c r="H688" t="inlineStr">
        <is>
          <t>YouTube</t>
        </is>
      </c>
      <c r="I688" t="inlineStr">
        <is>
          <t>เสนอไอเดีย</t>
        </is>
      </c>
      <c r="J688" t="inlineStr">
        <is>
          <t>Done</t>
        </is>
      </c>
      <c r="K688"/>
      <c r="L688" s="3"/>
      <c r="M688" t="inlineStr">
        <is>
          <t>1</t>
        </is>
      </c>
      <c r="N688" t="inlineStr">
        <is>
          <t>Apple</t>
        </is>
      </c>
      <c r="O688"/>
    </row>
    <row r="689" ht="12.75" customHeight="1">
      <c r="A689" t="inlineStr">
        <is>
          <t>Apple Health+ ขับเคลื่อนด้วย AI</t>
        </is>
      </c>
      <c r="B689" t="inlineStr">
        <is>
          <t>Nattida Suriyodara</t>
        </is>
      </c>
      <c r="C689" s="2">
        <v>45972</v>
      </c>
      <c r="D689" s="2">
        <v>45972</v>
      </c>
      <c r="E689"/>
      <c r="F689" s="3"/>
      <c r="G689"/>
      <c r="H689" t="inlineStr">
        <is>
          <t>Website</t>
        </is>
      </c>
      <c r="I689" t="inlineStr">
        <is>
          <t>งานประจำวัน</t>
        </is>
      </c>
      <c r="J689" t="inlineStr">
        <is>
          <t>Done</t>
        </is>
      </c>
      <c r="K689"/>
      <c r="L689" s="3"/>
      <c r="M689" t="inlineStr">
        <is>
          <t>1</t>
        </is>
      </c>
      <c r="N689" t="inlineStr">
        <is>
          <t>AI, Apple</t>
        </is>
      </c>
      <c r="O689"/>
    </row>
    <row r="690" ht="12.75" customHeight="1">
      <c r="A690" t="inlineStr">
        <is>
          <t>Tinder ใช้ ai เรียนรู้ผู้ใช้จากการเข้าถึงรูปภาพ</t>
        </is>
      </c>
      <c r="B690" t="inlineStr">
        <is>
          <t>Nattida Suriyodara</t>
        </is>
      </c>
      <c r="C690" s="2">
        <v>45972</v>
      </c>
      <c r="D690" s="2">
        <v>45972</v>
      </c>
      <c r="E690"/>
      <c r="F690" s="3"/>
      <c r="G690"/>
      <c r="H690" t="inlineStr">
        <is>
          <t>Website</t>
        </is>
      </c>
      <c r="I690" t="inlineStr">
        <is>
          <t>งานประจำวัน</t>
        </is>
      </c>
      <c r="J690" t="inlineStr">
        <is>
          <t>Done</t>
        </is>
      </c>
      <c r="K690"/>
      <c r="L690" s="3"/>
      <c r="M690" t="inlineStr">
        <is>
          <t>1</t>
        </is>
      </c>
      <c r="N690" t="inlineStr">
        <is>
          <t>AI, ทั่วไป</t>
        </is>
      </c>
      <c r="O690"/>
    </row>
    <row r="691" ht="12.75" customHeight="1">
      <c r="A691" t="inlineStr">
        <is>
          <t xml:space="preserve">สแกมเมอร์ชาวจีน ใช้ AI หลอกระบบธนาคาร </t>
        </is>
      </c>
      <c r="B691" t="inlineStr">
        <is>
          <t>Nattida Suriyodara</t>
        </is>
      </c>
      <c r="C691" s="2">
        <v>45971</v>
      </c>
      <c r="D691" s="2">
        <v>45971</v>
      </c>
      <c r="E691"/>
      <c r="F691" s="3"/>
      <c r="G691"/>
      <c r="H691" t="inlineStr">
        <is>
          <t>Shorts, Website</t>
        </is>
      </c>
      <c r="I691" t="inlineStr">
        <is>
          <t>งานประจำวัน</t>
        </is>
      </c>
      <c r="J691" t="inlineStr">
        <is>
          <t>Done</t>
        </is>
      </c>
      <c r="K691"/>
      <c r="L691" s="3"/>
      <c r="M691" t="inlineStr">
        <is>
          <t>1</t>
        </is>
      </c>
      <c r="N691" t="inlineStr">
        <is>
          <t>AI, ทั่วไป</t>
        </is>
      </c>
      <c r="O691"/>
    </row>
    <row r="692" ht="12.75" customHeight="1">
      <c r="A692" t="inlineStr">
        <is>
          <t>กล้องหน้า iPhone 18</t>
        </is>
      </c>
      <c r="B692" t="inlineStr">
        <is>
          <t>Krongkwun  Rithiwong</t>
        </is>
      </c>
      <c r="C692" s="2">
        <v>45971</v>
      </c>
      <c r="D692" s="2">
        <v>45971</v>
      </c>
      <c r="E692" t="inlineStr">
        <is>
          <t>ปกติ</t>
        </is>
      </c>
      <c r="F692" s="3"/>
      <c r="G692"/>
      <c r="H692" t="inlineStr">
        <is>
          <t>Shorts</t>
        </is>
      </c>
      <c r="I692" t="inlineStr">
        <is>
          <t>งานประจำวัน</t>
        </is>
      </c>
      <c r="J692" t="inlineStr">
        <is>
          <t>Done</t>
        </is>
      </c>
      <c r="K692"/>
      <c r="L692" s="3"/>
      <c r="M692" t="inlineStr">
        <is>
          <t>1</t>
        </is>
      </c>
      <c r="N692" t="inlineStr">
        <is>
          <t>Apple</t>
        </is>
      </c>
      <c r="O692"/>
    </row>
    <row r="693" ht="12.75" customHeight="1">
      <c r="A693" t="inlineStr">
        <is>
          <t xml:space="preserve">Oppo Reno15 ประกาศเปิดตัววันที่ 10 พ.ย. </t>
        </is>
      </c>
      <c r="B693" t="inlineStr">
        <is>
          <t>Saktaphat Kordjan</t>
        </is>
      </c>
      <c r="C693" s="2">
        <v>45968</v>
      </c>
      <c r="D693" s="2">
        <v>45968</v>
      </c>
      <c r="E693"/>
      <c r="F693" s="3"/>
      <c r="G693"/>
      <c r="H693" t="inlineStr">
        <is>
          <t>Website</t>
        </is>
      </c>
      <c r="I693" t="inlineStr">
        <is>
          <t>งานประจำวัน</t>
        </is>
      </c>
      <c r="J693" t="inlineStr">
        <is>
          <t>Done</t>
        </is>
      </c>
      <c r="K693"/>
      <c r="L693" s="3"/>
      <c r="M693" t="inlineStr">
        <is>
          <t>1</t>
        </is>
      </c>
      <c r="N693" t="inlineStr">
        <is>
          <t>Android</t>
        </is>
      </c>
      <c r="O693"/>
    </row>
    <row r="694" ht="12.75" customHeight="1">
      <c r="A694" t="inlineStr">
        <is>
          <t>Realme GT 8 Pro เตรียมเปิดตัวแบบสากล 20 พ.ย.</t>
        </is>
      </c>
      <c r="B694" t="inlineStr">
        <is>
          <t>Saktaphat Kordjan</t>
        </is>
      </c>
      <c r="C694" s="2">
        <v>45968</v>
      </c>
      <c r="D694" s="2">
        <v>45968</v>
      </c>
      <c r="E694"/>
      <c r="F694" s="3"/>
      <c r="G694"/>
      <c r="H694" t="inlineStr">
        <is>
          <t>Website</t>
        </is>
      </c>
      <c r="I694" t="inlineStr">
        <is>
          <t>งานประจำวัน</t>
        </is>
      </c>
      <c r="J694" t="inlineStr">
        <is>
          <t>Done</t>
        </is>
      </c>
      <c r="K694"/>
      <c r="L694" s="3"/>
      <c r="M694" t="inlineStr">
        <is>
          <t>1</t>
        </is>
      </c>
      <c r="N694" t="inlineStr">
        <is>
          <t>Android</t>
        </is>
      </c>
      <c r="O694"/>
    </row>
    <row r="695" ht="12.75" customHeight="1">
      <c r="A695" t="inlineStr">
        <is>
          <t>รายละเอียดชิปเซ็ตและแบตเตอรี่ของ Honor 500 Pro</t>
        </is>
      </c>
      <c r="B695" t="inlineStr">
        <is>
          <t>Saktaphat Kordjan</t>
        </is>
      </c>
      <c r="C695" s="2">
        <v>45968</v>
      </c>
      <c r="D695" s="2">
        <v>45968</v>
      </c>
      <c r="E695"/>
      <c r="F695" s="3"/>
      <c r="G695"/>
      <c r="H695" t="inlineStr">
        <is>
          <t>Website</t>
        </is>
      </c>
      <c r="I695" t="inlineStr">
        <is>
          <t>งานประจำวัน</t>
        </is>
      </c>
      <c r="J695" t="inlineStr">
        <is>
          <t>Done</t>
        </is>
      </c>
      <c r="K695"/>
      <c r="L695" s="3"/>
      <c r="M695" t="inlineStr">
        <is>
          <t>1</t>
        </is>
      </c>
      <c r="N695" t="inlineStr">
        <is>
          <t>Android</t>
        </is>
      </c>
      <c r="O695"/>
    </row>
    <row r="696" ht="12.75" customHeight="1">
      <c r="A696" t="inlineStr">
        <is>
          <t>ยืนยันความสามารถในการชาร์จของ Xiaomi 17 Ultra</t>
        </is>
      </c>
      <c r="B696" t="inlineStr">
        <is>
          <t>Saktaphat Kordjan</t>
        </is>
      </c>
      <c r="C696" s="2">
        <v>45968</v>
      </c>
      <c r="D696" s="2">
        <v>45968</v>
      </c>
      <c r="E696"/>
      <c r="F696" s="3"/>
      <c r="G696"/>
      <c r="H696" t="inlineStr">
        <is>
          <t>Website</t>
        </is>
      </c>
      <c r="I696" t="inlineStr">
        <is>
          <t>งานประจำวัน</t>
        </is>
      </c>
      <c r="J696" t="inlineStr">
        <is>
          <t>Done</t>
        </is>
      </c>
      <c r="K696"/>
      <c r="L696" s="3"/>
      <c r="M696" t="inlineStr">
        <is>
          <t>1</t>
        </is>
      </c>
      <c r="N696" t="inlineStr">
        <is>
          <t>Android</t>
        </is>
      </c>
      <c r="O696"/>
    </row>
    <row r="697" ht="12.75" customHeight="1">
      <c r="A697" t="inlineStr">
        <is>
          <t xml:space="preserve">iPhone Air Gen 2 อาจมีกล้องหลัง 2 ตัว </t>
        </is>
      </c>
      <c r="B697" t="inlineStr">
        <is>
          <t>Saktaphat Kordjan</t>
        </is>
      </c>
      <c r="C697" s="2">
        <v>45968</v>
      </c>
      <c r="D697" s="2">
        <v>45968</v>
      </c>
      <c r="E697"/>
      <c r="F697" s="3"/>
      <c r="G697"/>
      <c r="H697" t="inlineStr">
        <is>
          <t>Shorts</t>
        </is>
      </c>
      <c r="I697" t="inlineStr">
        <is>
          <t>งานประจำวัน</t>
        </is>
      </c>
      <c r="J697" t="inlineStr">
        <is>
          <t>Done</t>
        </is>
      </c>
      <c r="K697"/>
      <c r="L697" s="3"/>
      <c r="M697" t="inlineStr">
        <is>
          <t>1</t>
        </is>
      </c>
      <c r="N697" t="inlineStr">
        <is>
          <t>Apple</t>
        </is>
      </c>
      <c r="O697"/>
    </row>
    <row r="698" ht="12.75" customHeight="1">
      <c r="A698" t="inlineStr">
        <is>
          <t>One UI 8.5 สำหรับ Galaxy Z Flip 7 และ Galaxy Z Flip FE</t>
        </is>
      </c>
      <c r="B698" t="inlineStr">
        <is>
          <t>Saktaphat Kordjan</t>
        </is>
      </c>
      <c r="C698" s="2">
        <v>45968</v>
      </c>
      <c r="D698" s="2">
        <v>45968</v>
      </c>
      <c r="E698"/>
      <c r="F698" s="3"/>
      <c r="G698"/>
      <c r="H698" t="inlineStr">
        <is>
          <t>Website</t>
        </is>
      </c>
      <c r="I698" t="inlineStr">
        <is>
          <t>งานประจำวัน</t>
        </is>
      </c>
      <c r="J698" t="inlineStr">
        <is>
          <t>Done</t>
        </is>
      </c>
      <c r="K698"/>
      <c r="L698" s="3"/>
      <c r="M698" t="inlineStr">
        <is>
          <t>1</t>
        </is>
      </c>
      <c r="N698" t="inlineStr">
        <is>
          <t>Android</t>
        </is>
      </c>
      <c r="O698"/>
    </row>
    <row r="699" ht="12.75" customHeight="1">
      <c r="A699" t="inlineStr">
        <is>
          <t xml:space="preserve">Samsung กำลังจะเริ่มการผลิตชิปขนาด 2nm ในสหรัฐ </t>
        </is>
      </c>
      <c r="B699" t="inlineStr">
        <is>
          <t>Saktaphat Kordjan</t>
        </is>
      </c>
      <c r="C699" s="2">
        <v>45968</v>
      </c>
      <c r="D699" s="2">
        <v>45968</v>
      </c>
      <c r="E699"/>
      <c r="F699" s="3"/>
      <c r="G699"/>
      <c r="H699" t="inlineStr">
        <is>
          <t>Website</t>
        </is>
      </c>
      <c r="I699" t="inlineStr">
        <is>
          <t>งานประจำวัน</t>
        </is>
      </c>
      <c r="J699" t="inlineStr">
        <is>
          <t>Done</t>
        </is>
      </c>
      <c r="K699"/>
      <c r="L699" s="3"/>
      <c r="M699" t="inlineStr">
        <is>
          <t>1</t>
        </is>
      </c>
      <c r="N699" t="inlineStr">
        <is>
          <t>Tech</t>
        </is>
      </c>
      <c r="O699"/>
    </row>
    <row r="700" ht="12.75" customHeight="1">
      <c r="A700" t="inlineStr">
        <is>
          <t>Apple จับมือ Gemini</t>
        </is>
      </c>
      <c r="B700" t="inlineStr">
        <is>
          <t>Krongkwun  Rithiwong</t>
        </is>
      </c>
      <c r="C700" s="2">
        <v>45968</v>
      </c>
      <c r="D700" s="2">
        <v>45968</v>
      </c>
      <c r="E700" t="inlineStr">
        <is>
          <t>ปกติ</t>
        </is>
      </c>
      <c r="F700" s="3"/>
      <c r="G700"/>
      <c r="H700" t="inlineStr">
        <is>
          <t>Shorts</t>
        </is>
      </c>
      <c r="I700" t="inlineStr">
        <is>
          <t>งานประจำวัน</t>
        </is>
      </c>
      <c r="J700" t="inlineStr">
        <is>
          <t>Done</t>
        </is>
      </c>
      <c r="K700"/>
      <c r="L700" s="3"/>
      <c r="M700" t="inlineStr">
        <is>
          <t>1</t>
        </is>
      </c>
      <c r="N700" t="inlineStr">
        <is>
          <t>Apple, AI</t>
        </is>
      </c>
      <c r="O700"/>
    </row>
    <row r="701" ht="12.75" customHeight="1">
      <c r="A701" t="inlineStr">
        <is>
          <t>Local Capture เลือกตำแหน่งบันทึกไฟล์</t>
        </is>
      </c>
      <c r="B701" t="inlineStr">
        <is>
          <t>Nattida Suriyodara</t>
        </is>
      </c>
      <c r="C701" s="2">
        <v>45967</v>
      </c>
      <c r="D701" s="2">
        <v>45967</v>
      </c>
      <c r="E701"/>
      <c r="F701" s="3"/>
      <c r="G701"/>
      <c r="H701" t="inlineStr">
        <is>
          <t>Shorts</t>
        </is>
      </c>
      <c r="I701" t="inlineStr">
        <is>
          <t>งานประจำวัน</t>
        </is>
      </c>
      <c r="J701" t="inlineStr">
        <is>
          <t>Done</t>
        </is>
      </c>
      <c r="K701"/>
      <c r="L701" s="3"/>
      <c r="M701" t="inlineStr">
        <is>
          <t>1</t>
        </is>
      </c>
      <c r="N701" t="inlineStr">
        <is>
          <t>Apple</t>
        </is>
      </c>
      <c r="O701"/>
    </row>
    <row r="702" ht="12.75" customHeight="1">
      <c r="A702" t="inlineStr">
        <is>
          <t>Samsung วางจำหน่าย Switch 2-ready microSD ในสหรัฐอเมริกา</t>
        </is>
      </c>
      <c r="B702" t="inlineStr">
        <is>
          <t>Saktaphat Kordjan</t>
        </is>
      </c>
      <c r="C702" s="2">
        <v>45967</v>
      </c>
      <c r="D702" s="2">
        <v>45967</v>
      </c>
      <c r="E702"/>
      <c r="F702" s="3"/>
      <c r="G702"/>
      <c r="H702" t="inlineStr">
        <is>
          <t>Website</t>
        </is>
      </c>
      <c r="I702" t="inlineStr">
        <is>
          <t>งานประจำวัน</t>
        </is>
      </c>
      <c r="J702" t="inlineStr">
        <is>
          <t>Done</t>
        </is>
      </c>
      <c r="K702"/>
      <c r="L702" s="3"/>
      <c r="M702" t="inlineStr">
        <is>
          <t>1</t>
        </is>
      </c>
      <c r="N702" t="inlineStr">
        <is>
          <t>Tech</t>
        </is>
      </c>
      <c r="O702"/>
    </row>
    <row r="703" ht="12.75" customHeight="1">
      <c r="A703" t="inlineStr">
        <is>
          <t xml:space="preserve">รายละเอียดสเปค Redmi Turbo 5 Pro (อัปเดต) </t>
        </is>
      </c>
      <c r="B703" t="inlineStr">
        <is>
          <t>Saktaphat Kordjan</t>
        </is>
      </c>
      <c r="C703" s="2">
        <v>45967</v>
      </c>
      <c r="D703" s="2">
        <v>45967</v>
      </c>
      <c r="E703"/>
      <c r="F703" s="3"/>
      <c r="G703"/>
      <c r="H703" t="inlineStr">
        <is>
          <t>Website</t>
        </is>
      </c>
      <c r="I703" t="inlineStr">
        <is>
          <t>งานประจำวัน</t>
        </is>
      </c>
      <c r="J703" t="inlineStr">
        <is>
          <t>Done</t>
        </is>
      </c>
      <c r="K703"/>
      <c r="L703" s="3"/>
      <c r="M703" t="inlineStr">
        <is>
          <t>1</t>
        </is>
      </c>
      <c r="N703" t="inlineStr">
        <is>
          <t>Android</t>
        </is>
      </c>
      <c r="O703"/>
    </row>
    <row r="704" ht="12.75" customHeight="1">
      <c r="A704" t="inlineStr">
        <is>
          <t>Exynos 2600 อาจปรับปรุงกล้องให้ดียิ่งขึ้นใน Galaxy S26</t>
        </is>
      </c>
      <c r="B704" t="inlineStr">
        <is>
          <t>Saktaphat Kordjan</t>
        </is>
      </c>
      <c r="C704" s="2">
        <v>45967</v>
      </c>
      <c r="D704" s="2">
        <v>45967</v>
      </c>
      <c r="E704"/>
      <c r="F704" s="3"/>
      <c r="G704"/>
      <c r="H704" t="inlineStr">
        <is>
          <t>Website</t>
        </is>
      </c>
      <c r="I704" t="inlineStr">
        <is>
          <t>งานประจำวัน</t>
        </is>
      </c>
      <c r="J704" t="inlineStr">
        <is>
          <t>Done</t>
        </is>
      </c>
      <c r="K704"/>
      <c r="L704" s="3"/>
      <c r="M704" t="inlineStr">
        <is>
          <t>1</t>
        </is>
      </c>
      <c r="N704" t="inlineStr">
        <is>
          <t>Android</t>
        </is>
      </c>
      <c r="O704"/>
    </row>
    <row r="705" ht="12.75" customHeight="1">
      <c r="A705" t="inlineStr">
        <is>
          <t>Realme UI 7.0 เปิดตัวพร้อม Light Glass Design</t>
        </is>
      </c>
      <c r="B705" t="inlineStr">
        <is>
          <t>Saktaphat Kordjan</t>
        </is>
      </c>
      <c r="C705" s="2">
        <v>45967</v>
      </c>
      <c r="D705" s="2">
        <v>45967</v>
      </c>
      <c r="E705"/>
      <c r="F705" s="3"/>
      <c r="G705"/>
      <c r="H705" t="inlineStr">
        <is>
          <t>Website, Shorts</t>
        </is>
      </c>
      <c r="I705" t="inlineStr">
        <is>
          <t>งานประจำวัน</t>
        </is>
      </c>
      <c r="J705" t="inlineStr">
        <is>
          <t>Done</t>
        </is>
      </c>
      <c r="K705"/>
      <c r="L705" s="3"/>
      <c r="M705" t="inlineStr">
        <is>
          <t>1</t>
        </is>
      </c>
      <c r="N705" t="inlineStr">
        <is>
          <t>Android</t>
        </is>
      </c>
      <c r="O705"/>
    </row>
    <row r="706" ht="12.75" customHeight="1">
      <c r="A706" t="inlineStr">
        <is>
          <t>พบภาพร่างดีไซน์ Honor 500 ปรากฏบนโลกออนไลน์</t>
        </is>
      </c>
      <c r="B706" t="inlineStr">
        <is>
          <t>Saktaphat Kordjan</t>
        </is>
      </c>
      <c r="C706" s="2">
        <v>45966</v>
      </c>
      <c r="D706" s="2">
        <v>45966</v>
      </c>
      <c r="E706"/>
      <c r="F706" s="3"/>
      <c r="G706"/>
      <c r="H706" t="inlineStr">
        <is>
          <t>Website</t>
        </is>
      </c>
      <c r="I706" t="inlineStr">
        <is>
          <t>งานประจำวัน</t>
        </is>
      </c>
      <c r="J706" t="inlineStr">
        <is>
          <t>Done</t>
        </is>
      </c>
      <c r="K706"/>
      <c r="L706" s="3"/>
      <c r="M706" t="inlineStr">
        <is>
          <t>1</t>
        </is>
      </c>
      <c r="N706" t="inlineStr">
        <is>
          <t>Android</t>
        </is>
      </c>
      <c r="O706"/>
    </row>
    <row r="707" ht="12.75" customHeight="1">
      <c r="A707" t="inlineStr">
        <is>
          <t>หลุดรายละเอียดน่าสนใจเกี่ยวกับ Snapdragon 8 Elite Gen 6</t>
        </is>
      </c>
      <c r="B707" t="inlineStr">
        <is>
          <t>Saktaphat Kordjan</t>
        </is>
      </c>
      <c r="C707" s="2">
        <v>45966</v>
      </c>
      <c r="D707" s="2">
        <v>45966</v>
      </c>
      <c r="E707"/>
      <c r="F707" s="3"/>
      <c r="G707"/>
      <c r="H707" t="inlineStr">
        <is>
          <t>Website</t>
        </is>
      </c>
      <c r="I707" t="inlineStr">
        <is>
          <t>งานประจำวัน</t>
        </is>
      </c>
      <c r="J707" t="inlineStr">
        <is>
          <t>Done</t>
        </is>
      </c>
      <c r="K707"/>
      <c r="L707" s="3"/>
      <c r="M707" t="inlineStr">
        <is>
          <t>1</t>
        </is>
      </c>
      <c r="N707" t="inlineStr">
        <is>
          <t>Android</t>
        </is>
      </c>
      <c r="O707"/>
    </row>
    <row r="708" ht="12.75" customHeight="1">
      <c r="A708" t="inlineStr">
        <is>
          <t xml:space="preserve">Google AI Pro เฟส 2 </t>
        </is>
      </c>
      <c r="B708" t="inlineStr">
        <is>
          <t>Nattida Suriyodara,Krongkwun  Rithiwong</t>
        </is>
      </c>
      <c r="C708" s="2">
        <v>45965</v>
      </c>
      <c r="D708" s="2">
        <v>45965</v>
      </c>
      <c r="E708"/>
      <c r="F708" s="3"/>
      <c r="G708"/>
      <c r="H708" t="inlineStr">
        <is>
          <t>Shorts</t>
        </is>
      </c>
      <c r="I708" t="inlineStr">
        <is>
          <t>งานประจำวัน</t>
        </is>
      </c>
      <c r="J708" t="inlineStr">
        <is>
          <t>Done</t>
        </is>
      </c>
      <c r="K708"/>
      <c r="L708" s="3"/>
      <c r="M708" t="inlineStr">
        <is>
          <t>1</t>
        </is>
      </c>
      <c r="N708" t="inlineStr">
        <is>
          <t>AI</t>
        </is>
      </c>
      <c r="O708"/>
    </row>
    <row r="709" ht="12.75" customHeight="1">
      <c r="A709" t="inlineStr">
        <is>
          <t>iPadOS 26.1นำ Slide Over กลับมา</t>
        </is>
      </c>
      <c r="B709" t="inlineStr">
        <is>
          <t>Nattida Suriyodara</t>
        </is>
      </c>
      <c r="C709" s="2">
        <v>45965</v>
      </c>
      <c r="D709" s="2">
        <v>45965</v>
      </c>
      <c r="E709"/>
      <c r="F709" s="3"/>
      <c r="G709"/>
      <c r="H709" t="inlineStr">
        <is>
          <t>Website</t>
        </is>
      </c>
      <c r="I709" t="inlineStr">
        <is>
          <t>งานประจำวัน</t>
        </is>
      </c>
      <c r="J709" t="inlineStr">
        <is>
          <t>Done</t>
        </is>
      </c>
      <c r="K709"/>
      <c r="L709" s="3"/>
      <c r="M709" t="inlineStr">
        <is>
          <t>1</t>
        </is>
      </c>
      <c r="N709" t="inlineStr">
        <is>
          <t>Apple</t>
        </is>
      </c>
      <c r="O709"/>
    </row>
    <row r="710" ht="12.75" customHeight="1">
      <c r="A710" t="inlineStr">
        <is>
          <t>iPadOS 26.1 พรีวิว+Slide Over</t>
        </is>
      </c>
      <c r="B710" t="inlineStr">
        <is>
          <t>Nattida Suriyodara</t>
        </is>
      </c>
      <c r="C710" s="2">
        <v>45965</v>
      </c>
      <c r="D710" s="2">
        <v>45965</v>
      </c>
      <c r="E710"/>
      <c r="F710" s="3"/>
      <c r="G710"/>
      <c r="H710" t="inlineStr">
        <is>
          <t>YouTube</t>
        </is>
      </c>
      <c r="I710" t="inlineStr">
        <is>
          <t>งานประจำวัน</t>
        </is>
      </c>
      <c r="J710" t="inlineStr">
        <is>
          <t>Done</t>
        </is>
      </c>
      <c r="K710"/>
      <c r="L710" s="3"/>
      <c r="M710" t="inlineStr">
        <is>
          <t>1</t>
        </is>
      </c>
      <c r="N710" t="inlineStr">
        <is>
          <t>Apple</t>
        </is>
      </c>
      <c r="O710"/>
    </row>
    <row r="711" ht="12.75" customHeight="1">
      <c r="A711" t="inlineStr">
        <is>
          <t>Garmin Fenix 8</t>
        </is>
      </c>
      <c r="B711" t="inlineStr">
        <is>
          <t>Nattida Suriyodara</t>
        </is>
      </c>
      <c r="C711" s="2">
        <v>45964</v>
      </c>
      <c r="D711" s="2">
        <v>45964</v>
      </c>
      <c r="E711"/>
      <c r="F711" s="3"/>
      <c r="G711"/>
      <c r="H711" t="inlineStr">
        <is>
          <t>YouTube</t>
        </is>
      </c>
      <c r="I711" t="inlineStr">
        <is>
          <t>งานประจำวัน</t>
        </is>
      </c>
      <c r="J711" t="inlineStr">
        <is>
          <t>Done</t>
        </is>
      </c>
      <c r="K711"/>
      <c r="L711" s="3"/>
      <c r="M711" t="inlineStr">
        <is>
          <t>1</t>
        </is>
      </c>
      <c r="N711" t="inlineStr">
        <is>
          <t>ลูกค้า</t>
        </is>
      </c>
      <c r="O711"/>
    </row>
    <row r="712" ht="12.75" customHeight="1">
      <c r="A712" t="inlineStr">
        <is>
          <t xml:space="preserve">ลองเป็นโรบอตดูดฝุ่น Xiaomi 1 วัน </t>
        </is>
      </c>
      <c r="B712" t="inlineStr">
        <is>
          <t>Saktaphat Kordjan</t>
        </is>
      </c>
      <c r="C712" s="2">
        <v>45964</v>
      </c>
      <c r="D712" s="2">
        <v>45964</v>
      </c>
      <c r="E712"/>
      <c r="F712" s="3"/>
      <c r="G712"/>
      <c r="H712" t="inlineStr">
        <is>
          <t>YouTube</t>
        </is>
      </c>
      <c r="I712" t="inlineStr">
        <is>
          <t>งานลูกค้า</t>
        </is>
      </c>
      <c r="J712" t="inlineStr">
        <is>
          <t>Done</t>
        </is>
      </c>
      <c r="K712"/>
      <c r="L712" s="3"/>
      <c r="M712" t="inlineStr">
        <is>
          <t>1</t>
        </is>
      </c>
      <c r="N712" t="inlineStr">
        <is>
          <t>ลูกค้า</t>
        </is>
      </c>
      <c r="O712" t="inlineStr">
        <is>
          <t>Xiaomi</t>
        </is>
      </c>
    </row>
    <row r="713" ht="12.75" customHeight="1">
      <c r="A713" t="inlineStr">
        <is>
          <t>Siri x Google Gemini</t>
        </is>
      </c>
      <c r="B713" t="inlineStr">
        <is>
          <t>Nattida Suriyodara</t>
        </is>
      </c>
      <c r="C713" s="2">
        <v>45964</v>
      </c>
      <c r="D713" s="2">
        <v>45964</v>
      </c>
      <c r="E713"/>
      <c r="F713" s="3"/>
      <c r="G713"/>
      <c r="H713" t="inlineStr">
        <is>
          <t>Website, Pic Posts / Album</t>
        </is>
      </c>
      <c r="I713" t="inlineStr">
        <is>
          <t>งานประจำวัน</t>
        </is>
      </c>
      <c r="J713" t="inlineStr">
        <is>
          <t>Done</t>
        </is>
      </c>
      <c r="K713"/>
      <c r="L713" s="3"/>
      <c r="M713" t="inlineStr">
        <is>
          <t>1</t>
        </is>
      </c>
      <c r="N713" t="inlineStr">
        <is>
          <t>Apple, AI</t>
        </is>
      </c>
      <c r="O713"/>
    </row>
    <row r="714" ht="12.75" customHeight="1">
      <c r="A714" t="inlineStr">
        <is>
          <t>(ตัดจากคลิปใหญ่) ตัวอย่าง + รีแอค คลิป Sora 2</t>
        </is>
      </c>
      <c r="B714" t="inlineStr">
        <is>
          <t>Nattida Suriyodara,Sasithakan Sritonthip</t>
        </is>
      </c>
      <c r="C714" s="2">
        <v>45964</v>
      </c>
      <c r="D714" s="2">
        <v>45964</v>
      </c>
      <c r="E714" t="inlineStr">
        <is>
          <t>ปกติ</t>
        </is>
      </c>
      <c r="F714" s="3" t="str">
        <f>=HYPERLINK("https://www.youtube.com/watch?v=MPrKWKKlHoQ", "https://www.youtube.com/watch?v=MPrKWKKlHoQ")</f>
        <v>https://www.youtube.com/watch?v=MPrKWKKlHoQ</v>
      </c>
      <c r="G714"/>
      <c r="H714" t="inlineStr">
        <is>
          <t>Shorts</t>
        </is>
      </c>
      <c r="I714" t="inlineStr">
        <is>
          <t>งานประจำวัน</t>
        </is>
      </c>
      <c r="J714" t="inlineStr">
        <is>
          <t>Done</t>
        </is>
      </c>
      <c r="K714"/>
      <c r="L714" s="3"/>
      <c r="M714" t="inlineStr">
        <is>
          <t>1</t>
        </is>
      </c>
      <c r="N714" t="inlineStr">
        <is>
          <t>AI</t>
        </is>
      </c>
      <c r="O714"/>
    </row>
    <row r="715" ht="12.75" customHeight="1">
      <c r="A715" t="inlineStr">
        <is>
          <t xml:space="preserve">วิธีสร้างคลิปบน Sora </t>
        </is>
      </c>
      <c r="B715" t="inlineStr">
        <is>
          <t>Nattida Suriyodara</t>
        </is>
      </c>
      <c r="C715" s="2">
        <v>45964</v>
      </c>
      <c r="D715" s="2">
        <v>45964</v>
      </c>
      <c r="E715"/>
      <c r="F715" s="3"/>
      <c r="G715"/>
      <c r="H715" t="inlineStr">
        <is>
          <t>Website</t>
        </is>
      </c>
      <c r="I715" t="inlineStr">
        <is>
          <t>งานประจำวัน</t>
        </is>
      </c>
      <c r="J715" t="inlineStr">
        <is>
          <t>Done</t>
        </is>
      </c>
      <c r="K715"/>
      <c r="L715" s="3"/>
      <c r="M715" t="inlineStr">
        <is>
          <t>1</t>
        </is>
      </c>
      <c r="N715" t="inlineStr">
        <is>
          <t>AI</t>
        </is>
      </c>
      <c r="O715"/>
    </row>
    <row r="716" ht="12.75" customHeight="1">
      <c r="A716" t="inlineStr">
        <is>
          <t>Dropla เครื่องมือจัดการไฟล์ที่ทำให้ใช้งานไฟล์ง่ายขึ้นในหลายแอป</t>
        </is>
      </c>
      <c r="B716" t="inlineStr">
        <is>
          <t>Sasithakan Sritonthip</t>
        </is>
      </c>
      <c r="C716" s="2">
        <v>45964</v>
      </c>
      <c r="D716" s="2">
        <v>45964</v>
      </c>
      <c r="E716" t="inlineStr">
        <is>
          <t>ปกติ</t>
        </is>
      </c>
      <c r="F716" s="3" t="str">
        <f>=HYPERLINK("https://9to5mac.com/2025/11/01/indie-app-spotlight-dropla-file-managing-tool-kanban-boards-for-ipad/", "https://9to5mac.com/2025/11/01/indie-app-spotlight-dropla-file-managing-tool-kanban-boards-for-ipad/")</f>
        <v>https://9to5mac.com/2025/11/01/indie-app-spotlight-dropla-file-managing-tool-kanban-boards-for-ipad/</v>
      </c>
      <c r="G716"/>
      <c r="H716" t="inlineStr">
        <is>
          <t>Website</t>
        </is>
      </c>
      <c r="I716" t="inlineStr">
        <is>
          <t>งานประจำวัน</t>
        </is>
      </c>
      <c r="J716" t="inlineStr">
        <is>
          <t>Done</t>
        </is>
      </c>
      <c r="K716"/>
      <c r="L716" s="3" t="str">
        <f>=HYPERLINK("https://www.iphonemod.net/dropla-is-a-nifty-tool-that-keeps-your-files-organized-across-apps.html", "https://www.iphonemod.net/dropla-is-a-nifty-tool-that-keeps-your-files-organized-across-apps.html")</f>
        <v>https://www.iphonemod.net/dropla-is-a-nifty-tool-that-keeps-your-files-organized-across-apps.html</v>
      </c>
      <c r="M716" t="inlineStr">
        <is>
          <t>1</t>
        </is>
      </c>
      <c r="N716" t="inlineStr">
        <is>
          <t>Apple</t>
        </is>
      </c>
      <c r="O716"/>
    </row>
    <row r="717" ht="12.75" customHeight="1">
      <c r="A717" t="inlineStr">
        <is>
          <t>watchOS 26 เปิดให้ใช้ Apple Notes บน Apple Watch เป็นครั้งแรก</t>
        </is>
      </c>
      <c r="B717" t="inlineStr">
        <is>
          <t>Sasithakan Sritonthip</t>
        </is>
      </c>
      <c r="C717" s="2">
        <v>45964</v>
      </c>
      <c r="D717" s="2">
        <v>45964</v>
      </c>
      <c r="E717" t="inlineStr">
        <is>
          <t>ปกติ</t>
        </is>
      </c>
      <c r="F717" s="3" t="str">
        <f>=HYPERLINK("https://9to5mac.com/2025/10/31/watchos-26-brings-apple-notes-to-your-apple-watch/", "https://9to5mac.com/2025/10/31/watchos-26-brings-apple-notes-to-your-apple-watch/")</f>
        <v>https://9to5mac.com/2025/10/31/watchos-26-brings-apple-notes-to-your-apple-watch/</v>
      </c>
      <c r="G717"/>
      <c r="H717" t="inlineStr">
        <is>
          <t>Website</t>
        </is>
      </c>
      <c r="I717" t="inlineStr">
        <is>
          <t>งานประจำวัน</t>
        </is>
      </c>
      <c r="J717" t="inlineStr">
        <is>
          <t>Done</t>
        </is>
      </c>
      <c r="K717"/>
      <c r="L717" s="3" t="str">
        <f>=HYPERLINK("https://www.iphonemod.net/watchos-26-brings-apple-notes-to-your-apple-watch-for-the-first-time.html", "https://www.iphonemod.net/watchos-26-brings-apple-notes-to-your-apple-watch-for-the-first-time.html")</f>
        <v>https://www.iphonemod.net/watchos-26-brings-apple-notes-to-your-apple-watch-for-the-first-time.html</v>
      </c>
      <c r="M717" t="inlineStr">
        <is>
          <t>1</t>
        </is>
      </c>
      <c r="N717" t="inlineStr">
        <is>
          <t>Apple</t>
        </is>
      </c>
      <c r="O717"/>
    </row>
    <row r="718" ht="12.75" customHeight="1">
      <c r="A718" t="inlineStr">
        <is>
          <t>Youtube Super Resolution</t>
        </is>
      </c>
      <c r="B718" t="inlineStr">
        <is>
          <t>Krongkwun  Rithiwong</t>
        </is>
      </c>
      <c r="C718" s="2">
        <v>45964</v>
      </c>
      <c r="D718" s="2">
        <v>45964</v>
      </c>
      <c r="E718" t="inlineStr">
        <is>
          <t>ปกติ</t>
        </is>
      </c>
      <c r="F718" s="3"/>
      <c r="G718"/>
      <c r="H718" t="inlineStr">
        <is>
          <t>Shorts</t>
        </is>
      </c>
      <c r="I718" t="inlineStr">
        <is>
          <t>งานประจำวัน</t>
        </is>
      </c>
      <c r="J718" t="inlineStr">
        <is>
          <t>Done</t>
        </is>
      </c>
      <c r="K718"/>
      <c r="L718" s="3"/>
      <c r="M718" t="inlineStr">
        <is>
          <t>1</t>
        </is>
      </c>
      <c r="N718" t="inlineStr">
        <is>
          <t>Tech, AI</t>
        </is>
      </c>
      <c r="O718"/>
    </row>
    <row r="719" ht="12.75" customHeight="1">
      <c r="A719" t="inlineStr">
        <is>
          <t>Youtube เพิ่มขีดจำกัดการอัปโหลด</t>
        </is>
      </c>
      <c r="B719" t="inlineStr">
        <is>
          <t>Krongkwun  Rithiwong,Sasithakan Sritonthip</t>
        </is>
      </c>
      <c r="C719" s="2">
        <v>45964</v>
      </c>
      <c r="D719" s="2">
        <v>45964</v>
      </c>
      <c r="E719" t="inlineStr">
        <is>
          <t>ปกติ</t>
        </is>
      </c>
      <c r="F719" s="3"/>
      <c r="G719"/>
      <c r="H719" t="inlineStr">
        <is>
          <t>Shorts</t>
        </is>
      </c>
      <c r="I719" t="inlineStr">
        <is>
          <t>งานประจำวัน</t>
        </is>
      </c>
      <c r="J719" t="inlineStr">
        <is>
          <t>Done</t>
        </is>
      </c>
      <c r="K719"/>
      <c r="L719" s="3"/>
      <c r="M719" t="inlineStr">
        <is>
          <t>1</t>
        </is>
      </c>
      <c r="N719" t="inlineStr">
        <is>
          <t>Tech</t>
        </is>
      </c>
      <c r="O719"/>
    </row>
    <row r="720" ht="12.75" customHeight="1">
      <c r="A720" t="inlineStr">
        <is>
          <t xml:space="preserve">ลือ! iPhone 18 Pro </t>
        </is>
      </c>
      <c r="B720" t="inlineStr">
        <is>
          <t>Krongkwun  Rithiwong</t>
        </is>
      </c>
      <c r="C720" s="2">
        <v>45964</v>
      </c>
      <c r="D720" s="2">
        <v>45964</v>
      </c>
      <c r="E720" t="inlineStr">
        <is>
          <t>ปกติ</t>
        </is>
      </c>
      <c r="F720" s="3"/>
      <c r="G720"/>
      <c r="H720" t="inlineStr">
        <is>
          <t>Shorts</t>
        </is>
      </c>
      <c r="I720" t="inlineStr">
        <is>
          <t>งานประจำวัน</t>
        </is>
      </c>
      <c r="J720" t="inlineStr">
        <is>
          <t>Done</t>
        </is>
      </c>
      <c r="K720"/>
      <c r="L720" s="3"/>
      <c r="M720" t="inlineStr">
        <is>
          <t>1</t>
        </is>
      </c>
      <c r="N720" t="inlineStr">
        <is>
          <t>Apple</t>
        </is>
      </c>
      <c r="O720"/>
    </row>
    <row r="721" ht="12.75" customHeight="1">
      <c r="A721" t="inlineStr">
        <is>
          <t>FitWoody แอปติดตามสุขภาพที่ยืดหยุ่น ปรับโปรแกรมออกกำลังกายตามผู้ใช้งานแต่ละบุคคล</t>
        </is>
      </c>
      <c r="B721" t="inlineStr">
        <is>
          <t>Sasithakan Sritonthip</t>
        </is>
      </c>
      <c r="C721" s="2">
        <v>45961</v>
      </c>
      <c r="D721" s="2">
        <v>45961</v>
      </c>
      <c r="E721" t="inlineStr">
        <is>
          <t>ปกติ</t>
        </is>
      </c>
      <c r="F721" s="3" t="str">
        <f>=HYPERLINK("https://9to5mac.com/2025/10/25/indie-app-spotlight-fitwoody-fitness-tracker-for-iphone/", "https://9to5mac.com/2025/10/25/indie-app-spotlight-fitwoody-fitness-tracker-for-iphone/")</f>
        <v>https://9to5mac.com/2025/10/25/indie-app-spotlight-fitwoody-fitness-tracker-for-iphone/</v>
      </c>
      <c r="G721"/>
      <c r="H721" t="inlineStr">
        <is>
          <t>Website</t>
        </is>
      </c>
      <c r="I721" t="inlineStr">
        <is>
          <t>งานประจำวัน</t>
        </is>
      </c>
      <c r="J721" t="inlineStr">
        <is>
          <t>Done</t>
        </is>
      </c>
      <c r="K721" t="inlineStr">
        <is>
          <t>https://fitwoody.camp</t>
        </is>
      </c>
      <c r="L721" s="3" t="str">
        <f>=HYPERLINK("https://www.iphonemod.net/indie-app-spotlight-fitwoody-is-a-fitness-tracker-that-doesnt-punish-imperfection.html", "https://www.iphonemod.net/indie-app-spotlight-fitwoody-is-a-fitness-tracker-that-doesnt-punish-imperfection.html")</f>
        <v>https://www.iphonemod.net/indie-app-spotlight-fitwoody-is-a-fitness-tracker-that-doesnt-punish-imperfection.html</v>
      </c>
      <c r="M721" t="inlineStr">
        <is>
          <t>1</t>
        </is>
      </c>
      <c r="N721" t="inlineStr">
        <is>
          <t>Apple, Tech</t>
        </is>
      </c>
      <c r="O721"/>
    </row>
    <row r="722" ht="12.75" customHeight="1">
      <c r="A722" t="inlineStr">
        <is>
          <t>Android ปลอดภัยกว่า iOS ในการป้องกันการฉ้อโกง ?</t>
        </is>
      </c>
      <c r="B722" t="inlineStr">
        <is>
          <t>Saktaphat Kordjan</t>
        </is>
      </c>
      <c r="C722" s="2">
        <v>45961</v>
      </c>
      <c r="D722" s="2">
        <v>45961</v>
      </c>
      <c r="E722"/>
      <c r="F722" s="3"/>
      <c r="G722"/>
      <c r="H722" t="inlineStr">
        <is>
          <t>Website</t>
        </is>
      </c>
      <c r="I722" t="inlineStr">
        <is>
          <t>งานประจำวัน</t>
        </is>
      </c>
      <c r="J722" t="inlineStr">
        <is>
          <t>Done</t>
        </is>
      </c>
      <c r="K722"/>
      <c r="L722" s="3"/>
      <c r="M722" t="inlineStr">
        <is>
          <t>1</t>
        </is>
      </c>
      <c r="N722" t="inlineStr">
        <is>
          <t>Android</t>
        </is>
      </c>
      <c r="O722"/>
    </row>
    <row r="723" ht="12.75" customHeight="1">
      <c r="A723" t="inlineStr">
        <is>
          <t xml:space="preserve">7
Exynos 2600 อาจชนะ Snapdragon 8 Gen 5 </t>
        </is>
      </c>
      <c r="B723" t="inlineStr">
        <is>
          <t>Saktaphat Kordjan</t>
        </is>
      </c>
      <c r="C723" s="2">
        <v>45961</v>
      </c>
      <c r="D723" s="2">
        <v>45961</v>
      </c>
      <c r="E723"/>
      <c r="F723" s="3"/>
      <c r="G723"/>
      <c r="H723" t="inlineStr">
        <is>
          <t>Website</t>
        </is>
      </c>
      <c r="I723" t="inlineStr">
        <is>
          <t>งานประจำวัน</t>
        </is>
      </c>
      <c r="J723" t="inlineStr">
        <is>
          <t>Done</t>
        </is>
      </c>
      <c r="K723"/>
      <c r="L723" s="3"/>
      <c r="M723" t="inlineStr">
        <is>
          <t>1</t>
        </is>
      </c>
      <c r="N723" t="inlineStr">
        <is>
          <t>Android</t>
        </is>
      </c>
      <c r="O723"/>
    </row>
    <row r="724" ht="12.75" customHeight="1">
      <c r="A724" t="inlineStr">
        <is>
          <t>คาดวันเปิดตัวของ Huawei Mate X7</t>
        </is>
      </c>
      <c r="B724" t="inlineStr">
        <is>
          <t>Saktaphat Kordjan</t>
        </is>
      </c>
      <c r="C724" s="2">
        <v>45961</v>
      </c>
      <c r="D724" s="2">
        <v>45961</v>
      </c>
      <c r="E724"/>
      <c r="F724" s="3"/>
      <c r="G724"/>
      <c r="H724" t="inlineStr">
        <is>
          <t>Website</t>
        </is>
      </c>
      <c r="I724" t="inlineStr">
        <is>
          <t>งานประจำวัน</t>
        </is>
      </c>
      <c r="J724" t="inlineStr">
        <is>
          <t>Done</t>
        </is>
      </c>
      <c r="K724"/>
      <c r="L724" s="3"/>
      <c r="M724" t="inlineStr">
        <is>
          <t>1</t>
        </is>
      </c>
      <c r="N724" t="inlineStr">
        <is>
          <t>Android</t>
        </is>
      </c>
      <c r="O724"/>
    </row>
    <row r="725" ht="12.75" customHeight="1">
      <c r="A725" t="inlineStr">
        <is>
          <t xml:space="preserve">สหรัฐและจีนบรรลุข้อตกลงเรื่องภาษี </t>
        </is>
      </c>
      <c r="B725" t="inlineStr">
        <is>
          <t>Saktaphat Kordjan</t>
        </is>
      </c>
      <c r="C725" s="2">
        <v>45961</v>
      </c>
      <c r="D725" s="2">
        <v>45961</v>
      </c>
      <c r="E725"/>
      <c r="F725" s="3"/>
      <c r="G725"/>
      <c r="H725" t="inlineStr">
        <is>
          <t>Website</t>
        </is>
      </c>
      <c r="I725" t="inlineStr">
        <is>
          <t>งานประจำวัน</t>
        </is>
      </c>
      <c r="J725" t="inlineStr">
        <is>
          <t>Done</t>
        </is>
      </c>
      <c r="K725"/>
      <c r="L725" s="3"/>
      <c r="M725" t="inlineStr">
        <is>
          <t>1</t>
        </is>
      </c>
      <c r="N725" t="inlineStr">
        <is>
          <t>ทั่วไป</t>
        </is>
      </c>
      <c r="O725"/>
    </row>
    <row r="726" ht="12.75" customHeight="1">
      <c r="A726" t="inlineStr">
        <is>
          <t>Android Auto เตรียมเปิดตัววิดเจ็ตบนหน้าจอหลัก</t>
        </is>
      </c>
      <c r="B726" t="inlineStr">
        <is>
          <t>Saktaphat Kordjan</t>
        </is>
      </c>
      <c r="C726" s="2">
        <v>45961</v>
      </c>
      <c r="D726" s="2">
        <v>45961</v>
      </c>
      <c r="E726"/>
      <c r="F726" s="3"/>
      <c r="G726"/>
      <c r="H726" t="inlineStr">
        <is>
          <t>Website</t>
        </is>
      </c>
      <c r="I726" t="inlineStr">
        <is>
          <t>งานประจำวัน</t>
        </is>
      </c>
      <c r="J726" t="inlineStr">
        <is>
          <t>Done</t>
        </is>
      </c>
      <c r="K726"/>
      <c r="L726" s="3"/>
      <c r="M726" t="inlineStr">
        <is>
          <t>1</t>
        </is>
      </c>
      <c r="N726" t="inlineStr">
        <is>
          <t>Android</t>
        </is>
      </c>
      <c r="O726"/>
    </row>
    <row r="727" ht="12.75" customHeight="1">
      <c r="A727" t="inlineStr">
        <is>
          <t>(ตัดจากคลิปใหญ่) Preview แอป Sora 2</t>
        </is>
      </c>
      <c r="B727" t="inlineStr">
        <is>
          <t>Nattida Suriyodara,Sasithakan Sritonthip</t>
        </is>
      </c>
      <c r="C727" s="2">
        <v>45961</v>
      </c>
      <c r="D727" s="2">
        <v>45961</v>
      </c>
      <c r="E727" t="inlineStr">
        <is>
          <t>ปกติ</t>
        </is>
      </c>
      <c r="F727" s="3" t="str">
        <f>=HYPERLINK("https://www.youtube.com/watch?v=MPrKWKKlHoQ", "https://www.youtube.com/watch?v=MPrKWKKlHoQ")</f>
        <v>https://www.youtube.com/watch?v=MPrKWKKlHoQ</v>
      </c>
      <c r="G727"/>
      <c r="H727" t="inlineStr">
        <is>
          <t>Shorts</t>
        </is>
      </c>
      <c r="I727" t="inlineStr">
        <is>
          <t>งานประจำวัน</t>
        </is>
      </c>
      <c r="J727" t="inlineStr">
        <is>
          <t>Done</t>
        </is>
      </c>
      <c r="K727"/>
      <c r="L727" s="3"/>
      <c r="M727" t="inlineStr">
        <is>
          <t>1</t>
        </is>
      </c>
      <c r="N727" t="inlineStr">
        <is>
          <t>AI</t>
        </is>
      </c>
      <c r="O727"/>
    </row>
    <row r="728" ht="12.75" customHeight="1">
      <c r="A728" t="inlineStr">
        <is>
          <t>Studio 7ออนไลน์เท่านั้น! โปรแรงเฉพาะ 9 วัน! 💚 สินค้า Apple ที่ Studio7 ลดสูงสุด 60% คุ้มกว่านี้ไม่มีแล้ว!</t>
        </is>
      </c>
      <c r="B728" t="inlineStr">
        <is>
          <t>Thitirath Kinaret</t>
        </is>
      </c>
      <c r="C728" s="2">
        <v>45961</v>
      </c>
      <c r="D728" s="2">
        <v>45962.75</v>
      </c>
      <c r="E728"/>
      <c r="F728" s="3"/>
      <c r="G728"/>
      <c r="H728" t="inlineStr">
        <is>
          <t>Event</t>
        </is>
      </c>
      <c r="I728" t="inlineStr">
        <is>
          <t>งานลูกค้า</t>
        </is>
      </c>
      <c r="J728" t="inlineStr">
        <is>
          <t>Done</t>
        </is>
      </c>
      <c r="K728"/>
      <c r="L728" s="3"/>
      <c r="M728" t="inlineStr">
        <is>
          <t>1</t>
        </is>
      </c>
      <c r="N728" t="inlineStr">
        <is>
          <t>Apple</t>
        </is>
      </c>
      <c r="O728" t="inlineStr">
        <is>
          <t>Studio 7</t>
        </is>
      </c>
    </row>
    <row r="729" ht="12.75" customHeight="1">
      <c r="A729" t="inlineStr">
        <is>
          <t xml:space="preserve">Nvidia มูลค่าถึง 5 ล้านล้านดอลลาร์ เมื่อความต้องการ AI สูงขึ้น </t>
        </is>
      </c>
      <c r="B729" t="inlineStr">
        <is>
          <t>Nattida Suriyodara</t>
        </is>
      </c>
      <c r="C729" s="2">
        <v>45960</v>
      </c>
      <c r="D729" s="2">
        <v>45960</v>
      </c>
      <c r="E729"/>
      <c r="F729" s="3"/>
      <c r="G729"/>
      <c r="H729" t="inlineStr">
        <is>
          <t>Website</t>
        </is>
      </c>
      <c r="I729" t="inlineStr">
        <is>
          <t>งานประจำวัน</t>
        </is>
      </c>
      <c r="J729" t="inlineStr">
        <is>
          <t>Done</t>
        </is>
      </c>
      <c r="K729"/>
      <c r="L729" s="3"/>
      <c r="M729" t="inlineStr">
        <is>
          <t>1</t>
        </is>
      </c>
      <c r="N729" t="inlineStr">
        <is>
          <t>AI, Apple</t>
        </is>
      </c>
      <c r="O729"/>
    </row>
    <row r="730" ht="12.75" customHeight="1">
      <c r="A730" t="inlineStr">
        <is>
          <t xml:space="preserve"> Apple VS Oppo</t>
        </is>
      </c>
      <c r="B730" t="inlineStr">
        <is>
          <t>Krongkwun  Rithiwong</t>
        </is>
      </c>
      <c r="C730" s="2">
        <v>45960</v>
      </c>
      <c r="D730" s="2">
        <v>45960</v>
      </c>
      <c r="E730" t="inlineStr">
        <is>
          <t>ปกติ</t>
        </is>
      </c>
      <c r="F730" s="3"/>
      <c r="G730"/>
      <c r="H730" t="inlineStr">
        <is>
          <t>Shorts</t>
        </is>
      </c>
      <c r="I730" t="inlineStr">
        <is>
          <t>งานประจำวัน</t>
        </is>
      </c>
      <c r="J730" t="inlineStr">
        <is>
          <t>Done</t>
        </is>
      </c>
      <c r="K730"/>
      <c r="L730" s="3"/>
      <c r="M730" t="inlineStr">
        <is>
          <t>1</t>
        </is>
      </c>
      <c r="N730" t="inlineStr">
        <is>
          <t>Apple</t>
        </is>
      </c>
      <c r="O730"/>
    </row>
    <row r="731" ht="12.75" customHeight="1">
      <c r="A731" t="inlineStr">
        <is>
          <t>AirPods Pro 3 มีเสียงแปลก ๆ</t>
        </is>
      </c>
      <c r="B731" t="inlineStr">
        <is>
          <t>Krongkwun  Rithiwong</t>
        </is>
      </c>
      <c r="C731" s="2">
        <v>45960</v>
      </c>
      <c r="D731" s="2">
        <v>45960</v>
      </c>
      <c r="E731" t="inlineStr">
        <is>
          <t>ปกติ</t>
        </is>
      </c>
      <c r="F731" s="3"/>
      <c r="G731"/>
      <c r="H731" t="inlineStr">
        <is>
          <t>Shorts</t>
        </is>
      </c>
      <c r="I731" t="inlineStr">
        <is>
          <t>งานประจำวัน</t>
        </is>
      </c>
      <c r="J731" t="inlineStr">
        <is>
          <t>Done</t>
        </is>
      </c>
      <c r="K731"/>
      <c r="L731" s="3"/>
      <c r="M731" t="inlineStr">
        <is>
          <t>1</t>
        </is>
      </c>
      <c r="N731" t="inlineStr">
        <is>
          <t>Apple</t>
        </is>
      </c>
      <c r="O731"/>
    </row>
    <row r="732" ht="12.75" customHeight="1">
      <c r="A732" t="inlineStr">
        <is>
          <t>(ตัดจากคลิปใหญ่) AirPods Pro 3 - จุกหูฟังใหม่</t>
        </is>
      </c>
      <c r="B732" t="inlineStr">
        <is>
          <t>Thitirath Kinaret,Sasithakan Sritonthip</t>
        </is>
      </c>
      <c r="C732" s="2">
        <v>45960</v>
      </c>
      <c r="D732" s="2">
        <v>45960</v>
      </c>
      <c r="E732" t="inlineStr">
        <is>
          <t>ปกติ</t>
        </is>
      </c>
      <c r="F732" s="3" t="str">
        <f>=HYPERLINK("https://www.youtube.com/watch?v=TSwPtI_TbzE", "https://www.youtube.com/watch?v=TSwPtI_TbzE")</f>
        <v>https://www.youtube.com/watch?v=TSwPtI_TbzE</v>
      </c>
      <c r="G732"/>
      <c r="H732" t="inlineStr">
        <is>
          <t>Shorts</t>
        </is>
      </c>
      <c r="I732" t="inlineStr">
        <is>
          <t>งานประจำวัน</t>
        </is>
      </c>
      <c r="J732" t="inlineStr">
        <is>
          <t>Done</t>
        </is>
      </c>
      <c r="K732"/>
      <c r="L732" s="3"/>
      <c r="M732" t="inlineStr">
        <is>
          <t>1</t>
        </is>
      </c>
      <c r="N732" t="inlineStr">
        <is>
          <t>Apple</t>
        </is>
      </c>
      <c r="O732"/>
    </row>
    <row r="733" ht="12.75" customHeight="1">
      <c r="A733" t="inlineStr">
        <is>
          <t>(ตัดจากคลิปใหญ่) AirPods Pro 3 - Live Translation</t>
        </is>
      </c>
      <c r="B733" t="inlineStr">
        <is>
          <t>Thitirath Kinaret,Sasithakan Sritonthip</t>
        </is>
      </c>
      <c r="C733" s="2">
        <v>45960</v>
      </c>
      <c r="D733" s="2">
        <v>45960</v>
      </c>
      <c r="E733" t="inlineStr">
        <is>
          <t>ปกติ</t>
        </is>
      </c>
      <c r="F733" s="3" t="str">
        <f>=HYPERLINK("https://www.youtube.com/watch?v=TSwPtI_TbzE", "https://www.youtube.com/watch?v=TSwPtI_TbzE")</f>
        <v>https://www.youtube.com/watch?v=TSwPtI_TbzE</v>
      </c>
      <c r="G733"/>
      <c r="H733" t="inlineStr">
        <is>
          <t>Shorts</t>
        </is>
      </c>
      <c r="I733" t="inlineStr">
        <is>
          <t>งานประจำวัน</t>
        </is>
      </c>
      <c r="J733" t="inlineStr">
        <is>
          <t>Done</t>
        </is>
      </c>
      <c r="K733"/>
      <c r="L733" s="3"/>
      <c r="M733" t="inlineStr">
        <is>
          <t>1</t>
        </is>
      </c>
      <c r="N733" t="inlineStr">
        <is>
          <t>Apple</t>
        </is>
      </c>
      <c r="O733"/>
    </row>
    <row r="734" ht="12.75" customHeight="1">
      <c r="A734" t="inlineStr">
        <is>
          <t>(ตัดจากคลิปใหญ่) AirPods Pro 3 - Heart Rate Monitor</t>
        </is>
      </c>
      <c r="B734" t="inlineStr">
        <is>
          <t>Thitirath Kinaret,Sasithakan Sritonthip</t>
        </is>
      </c>
      <c r="C734" s="2">
        <v>45960</v>
      </c>
      <c r="D734" s="2">
        <v>45960</v>
      </c>
      <c r="E734" t="inlineStr">
        <is>
          <t>ปกติ</t>
        </is>
      </c>
      <c r="F734" s="3" t="str">
        <f>=HYPERLINK("https://www.youtube.com/watch?v=TSwPtI_TbzE", "https://www.youtube.com/watch?v=TSwPtI_TbzE")</f>
        <v>https://www.youtube.com/watch?v=TSwPtI_TbzE</v>
      </c>
      <c r="G734"/>
      <c r="H734" t="inlineStr">
        <is>
          <t>Shorts</t>
        </is>
      </c>
      <c r="I734" t="inlineStr">
        <is>
          <t>งานประจำวัน</t>
        </is>
      </c>
      <c r="J734" t="inlineStr">
        <is>
          <t>Done</t>
        </is>
      </c>
      <c r="K734"/>
      <c r="L734" s="3"/>
      <c r="M734" t="inlineStr">
        <is>
          <t>1</t>
        </is>
      </c>
      <c r="N734" t="inlineStr">
        <is>
          <t>Apple</t>
        </is>
      </c>
      <c r="O734"/>
    </row>
    <row r="735" ht="12.75" customHeight="1">
      <c r="A735" t="inlineStr">
        <is>
          <t>CaseClub - Travel Mode: Protected and Secured your phone. (Draft 1)</t>
        </is>
      </c>
      <c r="B735" t="inlineStr">
        <is>
          <t>Thitirath Kinaret,Nattida Suriyodara,Sasithakan Sritonthip,Krongkwun  Rithiwong</t>
        </is>
      </c>
      <c r="C735" s="2">
        <v>45959</v>
      </c>
      <c r="D735" s="2">
        <v>45979</v>
      </c>
      <c r="E735" t="inlineStr">
        <is>
          <t>ปกติ</t>
        </is>
      </c>
      <c r="F735" s="3" t="str">
        <f>=HYPERLINK("https://docs.google.com/presentation/d/1zI1JD36rF-7_qUKH1LPj5KfH-hfCJtvTkjt-mxBQO-0/edit?slide=id.g3951d02ee5c_0_0#slide=id.g3951d02ee5c_0_0", "https://docs.google.com/presentation/d/1zI1JD36rF-7_qUKH1LPj5KfH-hfCJtvTkjt-mxBQO-0/edit?slide=id.g3951d02ee5c_0_0#slide=id.g3951d02ee5c_0_0")</f>
        <v>https://docs.google.com/presentation/d/1zI1JD36rF-7_qUKH1LPj5KfH-hfCJtvTkjt-mxBQO-0/edit?slide=id.g3951d02ee5c_0_0#slide=id.g3951d02ee5c_0_0</v>
      </c>
      <c r="G735"/>
      <c r="H735" t="inlineStr">
        <is>
          <t>Shorts</t>
        </is>
      </c>
      <c r="I735" t="inlineStr">
        <is>
          <t>งานลูกค้า</t>
        </is>
      </c>
      <c r="J735" t="inlineStr">
        <is>
          <t>Done</t>
        </is>
      </c>
      <c r="K735"/>
      <c r="L735" s="3"/>
      <c r="M735" t="inlineStr">
        <is>
          <t>1</t>
        </is>
      </c>
      <c r="N735" t="inlineStr">
        <is>
          <t>ลูกค้า</t>
        </is>
      </c>
      <c r="O735" t="inlineStr">
        <is>
          <t>CaseClub</t>
        </is>
      </c>
    </row>
    <row r="736" ht="12.75" customHeight="1">
      <c r="A736" t="inlineStr">
        <is>
          <t>ถาม-ตอบ คนละครึ่ง 2025</t>
        </is>
      </c>
      <c r="B736" t="inlineStr">
        <is>
          <t>Nattida Suriyodara,Sasithakan Sritonthip</t>
        </is>
      </c>
      <c r="C736" s="2">
        <v>45959</v>
      </c>
      <c r="D736" s="2">
        <v>45959</v>
      </c>
      <c r="E736" t="inlineStr">
        <is>
          <t>ปกติ</t>
        </is>
      </c>
      <c r="F736" s="3"/>
      <c r="G736"/>
      <c r="H736" t="inlineStr">
        <is>
          <t>Shorts</t>
        </is>
      </c>
      <c r="I736" t="inlineStr">
        <is>
          <t>งานประจำวัน</t>
        </is>
      </c>
      <c r="J736" t="inlineStr">
        <is>
          <t>Done</t>
        </is>
      </c>
      <c r="K736"/>
      <c r="L736" s="3"/>
      <c r="M736" t="inlineStr">
        <is>
          <t>1</t>
        </is>
      </c>
      <c r="N736" t="inlineStr">
        <is>
          <t>ทั่วไป</t>
        </is>
      </c>
      <c r="O736"/>
    </row>
    <row r="737" ht="12.75" customHeight="1">
      <c r="A737" t="inlineStr">
        <is>
          <t>HUAWEI Ultimate 2 x BaNANA (Draft 1)</t>
        </is>
      </c>
      <c r="B737" t="inlineStr">
        <is>
          <t>Krongkwun  Rithiwong,Thitirath Kinaret</t>
        </is>
      </c>
      <c r="C737" s="2">
        <v>45959</v>
      </c>
      <c r="D737" s="2">
        <v>45972</v>
      </c>
      <c r="E737" t="inlineStr">
        <is>
          <t>ปกติ</t>
        </is>
      </c>
      <c r="F737" s="3"/>
      <c r="G737"/>
      <c r="H737" t="inlineStr">
        <is>
          <t>YouTube</t>
        </is>
      </c>
      <c r="I737" t="inlineStr">
        <is>
          <t>งานลูกค้า</t>
        </is>
      </c>
      <c r="J737" t="inlineStr">
        <is>
          <t>Done</t>
        </is>
      </c>
      <c r="K737"/>
      <c r="L737" s="3"/>
      <c r="M737" t="inlineStr">
        <is>
          <t>1</t>
        </is>
      </c>
      <c r="N737" t="inlineStr">
        <is>
          <t>Tech, Android</t>
        </is>
      </c>
      <c r="O737" t="inlineStr">
        <is>
          <t>BaNANA</t>
        </is>
      </c>
    </row>
    <row r="738" ht="12.75" customHeight="1">
      <c r="A738" t="inlineStr">
        <is>
          <t>รีวิว Apple Watch Series 11</t>
        </is>
      </c>
      <c r="B738" t="inlineStr">
        <is>
          <t>Nattida Suriyodara</t>
        </is>
      </c>
      <c r="C738" s="2">
        <v>45959</v>
      </c>
      <c r="D738" s="2">
        <v>45959</v>
      </c>
      <c r="E738"/>
      <c r="F738" s="3"/>
      <c r="G738"/>
      <c r="H738" t="inlineStr">
        <is>
          <t>YouTube</t>
        </is>
      </c>
      <c r="I738" t="inlineStr">
        <is>
          <t>งานประจำวัน</t>
        </is>
      </c>
      <c r="J738" t="inlineStr">
        <is>
          <t>Done</t>
        </is>
      </c>
      <c r="K738"/>
      <c r="L738" s="3"/>
      <c r="M738"/>
      <c r="N738" t="inlineStr">
        <is>
          <t>Apple</t>
        </is>
      </c>
      <c r="O738"/>
    </row>
    <row r="739" ht="12.75" customHeight="1">
      <c r="A739" t="inlineStr">
        <is>
          <t>iPad Air, Mini, Macbook อาจใช้จอ OLED</t>
        </is>
      </c>
      <c r="B739" t="inlineStr">
        <is>
          <t>Nattida Suriyodara</t>
        </is>
      </c>
      <c r="C739" s="2">
        <v>45959</v>
      </c>
      <c r="D739" s="2">
        <v>45959</v>
      </c>
      <c r="E739"/>
      <c r="F739" s="3"/>
      <c r="G739"/>
      <c r="H739" t="inlineStr">
        <is>
          <t>Website</t>
        </is>
      </c>
      <c r="I739" t="inlineStr">
        <is>
          <t>งานประจำวัน</t>
        </is>
      </c>
      <c r="J739" t="inlineStr">
        <is>
          <t>Done</t>
        </is>
      </c>
      <c r="K739"/>
      <c r="L739" s="3"/>
      <c r="M739" t="inlineStr">
        <is>
          <t>1</t>
        </is>
      </c>
      <c r="N739" t="inlineStr">
        <is>
          <t>Apple</t>
        </is>
      </c>
      <c r="O739"/>
    </row>
    <row r="740" ht="12.75" customHeight="1">
      <c r="A740" t="inlineStr">
        <is>
          <t>iPhone 18 ปรับดีไซน์ Camera Control</t>
        </is>
      </c>
      <c r="B740" t="inlineStr">
        <is>
          <t>Nattida Suriyodara</t>
        </is>
      </c>
      <c r="C740" s="2">
        <v>45959</v>
      </c>
      <c r="D740" s="2">
        <v>45959</v>
      </c>
      <c r="E740"/>
      <c r="F740" s="3"/>
      <c r="G740"/>
      <c r="H740" t="inlineStr">
        <is>
          <t>Website</t>
        </is>
      </c>
      <c r="I740" t="inlineStr">
        <is>
          <t>งานประจำวัน</t>
        </is>
      </c>
      <c r="J740" t="inlineStr">
        <is>
          <t>Done</t>
        </is>
      </c>
      <c r="K740"/>
      <c r="L740" s="3"/>
      <c r="M740" t="inlineStr">
        <is>
          <t>1</t>
        </is>
      </c>
      <c r="N740" t="inlineStr">
        <is>
          <t>Apple</t>
        </is>
      </c>
      <c r="O740"/>
    </row>
    <row r="741" ht="12.75" customHeight="1">
      <c r="A741" t="inlineStr">
        <is>
          <t xml:space="preserve">ย้าย e-SIM Apple Watch </t>
        </is>
      </c>
      <c r="B741" t="inlineStr">
        <is>
          <t>Nattida Suriyodara</t>
        </is>
      </c>
      <c r="C741" s="2">
        <v>45959</v>
      </c>
      <c r="D741" s="2">
        <v>45959</v>
      </c>
      <c r="E741"/>
      <c r="F741" s="3"/>
      <c r="G741"/>
      <c r="H741" t="inlineStr">
        <is>
          <t>Shorts</t>
        </is>
      </c>
      <c r="I741" t="inlineStr">
        <is>
          <t>งานประจำวัน</t>
        </is>
      </c>
      <c r="J741" t="inlineStr">
        <is>
          <t>Done</t>
        </is>
      </c>
      <c r="K741"/>
      <c r="L741" s="3"/>
      <c r="M741" t="inlineStr">
        <is>
          <t>1</t>
        </is>
      </c>
      <c r="N741" t="inlineStr">
        <is>
          <t>Apple</t>
        </is>
      </c>
      <c r="O741"/>
    </row>
    <row r="742" ht="12.75" customHeight="1">
      <c r="A742" t="inlineStr">
        <is>
          <t>Gemini อาจเข้ามาใน Google TV</t>
        </is>
      </c>
      <c r="B742" t="inlineStr">
        <is>
          <t>Nattida Suriyodara</t>
        </is>
      </c>
      <c r="C742" s="2">
        <v>45959</v>
      </c>
      <c r="D742" s="2">
        <v>45959</v>
      </c>
      <c r="E742"/>
      <c r="F742" s="3"/>
      <c r="G742"/>
      <c r="H742" t="inlineStr">
        <is>
          <t>Website</t>
        </is>
      </c>
      <c r="I742" t="inlineStr">
        <is>
          <t>งานประจำวัน</t>
        </is>
      </c>
      <c r="J742" t="inlineStr">
        <is>
          <t>Done</t>
        </is>
      </c>
      <c r="K742"/>
      <c r="L742" s="3"/>
      <c r="M742"/>
      <c r="N742" t="inlineStr">
        <is>
          <t>AI</t>
        </is>
      </c>
      <c r="O742"/>
    </row>
    <row r="743" ht="12.75" customHeight="1">
      <c r="A743" t="inlineStr">
        <is>
          <t>Samsung Galaxy Buds3 Pro with Apple device (Photo Draft 2)</t>
        </is>
      </c>
      <c r="B743" t="inlineStr">
        <is>
          <t>Thitirath Kinaret,Sasithakan Sritonthip,Nattida Suriyodara</t>
        </is>
      </c>
      <c r="C743" s="2">
        <v>45958</v>
      </c>
      <c r="D743" s="2">
        <v>45975</v>
      </c>
      <c r="E743" t="inlineStr">
        <is>
          <t>ปกติ</t>
        </is>
      </c>
      <c r="F743" s="3"/>
      <c r="G743" t="inlineStr">
        <is>
          <t>final brief_Buds3 Pro with Co.A device_iMOD.docx</t>
        </is>
      </c>
      <c r="H743" t="inlineStr">
        <is>
          <t>Pic Posts / Album</t>
        </is>
      </c>
      <c r="I743" t="inlineStr">
        <is>
          <t>งานลูกค้า</t>
        </is>
      </c>
      <c r="J743" t="inlineStr">
        <is>
          <t>Done</t>
        </is>
      </c>
      <c r="K743"/>
      <c r="L743" s="3"/>
      <c r="M743" t="inlineStr">
        <is>
          <t>1</t>
        </is>
      </c>
      <c r="N743" t="inlineStr">
        <is>
          <t>ลูกค้า</t>
        </is>
      </c>
      <c r="O743" t="inlineStr">
        <is>
          <t>Samsung</t>
        </is>
      </c>
    </row>
    <row r="744" ht="12.75" customHeight="1">
      <c r="A744" t="inlineStr">
        <is>
          <t>Apple อาจเปิดตัวแอป Pixelmator Pro สำหรับ iPad</t>
        </is>
      </c>
      <c r="B744" t="inlineStr">
        <is>
          <t>Saktaphat Kordjan</t>
        </is>
      </c>
      <c r="C744" s="2">
        <v>45958</v>
      </c>
      <c r="D744" s="2">
        <v>45958</v>
      </c>
      <c r="E744"/>
      <c r="F744" s="3"/>
      <c r="G744"/>
      <c r="H744" t="inlineStr">
        <is>
          <t>Website</t>
        </is>
      </c>
      <c r="I744" t="inlineStr">
        <is>
          <t>งานประจำวัน</t>
        </is>
      </c>
      <c r="J744" t="inlineStr">
        <is>
          <t>Done</t>
        </is>
      </c>
      <c r="K744"/>
      <c r="L744" s="3"/>
      <c r="M744" t="inlineStr">
        <is>
          <t>1</t>
        </is>
      </c>
      <c r="N744" t="inlineStr">
        <is>
          <t>Apple</t>
        </is>
      </c>
      <c r="O744"/>
    </row>
    <row r="745" ht="12.75" customHeight="1">
      <c r="A745" t="inlineStr">
        <is>
          <t>หลุดสเปคของ OnePlus Turbo มีความจุแบตเยอะมาก</t>
        </is>
      </c>
      <c r="B745" t="inlineStr">
        <is>
          <t>Saktaphat Kordjan</t>
        </is>
      </c>
      <c r="C745" s="2">
        <v>45958</v>
      </c>
      <c r="D745" s="2">
        <v>45958</v>
      </c>
      <c r="E745"/>
      <c r="F745" s="3"/>
      <c r="G745"/>
      <c r="H745" t="inlineStr">
        <is>
          <t>Website</t>
        </is>
      </c>
      <c r="I745" t="inlineStr">
        <is>
          <t>งานประจำวัน</t>
        </is>
      </c>
      <c r="J745" t="inlineStr">
        <is>
          <t>Done</t>
        </is>
      </c>
      <c r="K745"/>
      <c r="L745" s="3"/>
      <c r="M745" t="inlineStr">
        <is>
          <t>1</t>
        </is>
      </c>
      <c r="N745" t="inlineStr">
        <is>
          <t>Android</t>
        </is>
      </c>
      <c r="O745"/>
    </row>
    <row r="746" ht="12.75" customHeight="1">
      <c r="A746" t="inlineStr">
        <is>
          <t>Galaxy S26 Series EP.2</t>
        </is>
      </c>
      <c r="B746" t="inlineStr">
        <is>
          <t>Saktaphat Kordjan</t>
        </is>
      </c>
      <c r="C746" s="2">
        <v>45958</v>
      </c>
      <c r="D746" s="2">
        <v>45958</v>
      </c>
      <c r="E746"/>
      <c r="F746" s="3"/>
      <c r="G746"/>
      <c r="H746" t="inlineStr">
        <is>
          <t>Shorts</t>
        </is>
      </c>
      <c r="I746" t="inlineStr">
        <is>
          <t>งานประจำวัน</t>
        </is>
      </c>
      <c r="J746" t="inlineStr">
        <is>
          <t>Done</t>
        </is>
      </c>
      <c r="K746"/>
      <c r="L746" s="3"/>
      <c r="M746" t="inlineStr">
        <is>
          <t>1</t>
        </is>
      </c>
      <c r="N746" t="inlineStr">
        <is>
          <t>Android</t>
        </is>
      </c>
      <c r="O746"/>
    </row>
    <row r="747" ht="12.75" customHeight="1">
      <c r="A747" t="inlineStr">
        <is>
          <t>Thread เปิดตัวฟีเจอร์ “Ghost Post” โพสต์แล้วหายไปภายใน 24 ชั่วโมง</t>
        </is>
      </c>
      <c r="B747" t="inlineStr">
        <is>
          <t>Sasithakan Sritonthip</t>
        </is>
      </c>
      <c r="C747" s="2">
        <v>45958</v>
      </c>
      <c r="D747" s="2">
        <v>45958</v>
      </c>
      <c r="E747" t="inlineStr">
        <is>
          <t>ปกติ</t>
        </is>
      </c>
      <c r="F747" s="3" t="str">
        <f>=HYPERLINK("https://about.fb.com/news/2025/10/introducing-disappearing-posts-on-threads/", "https://about.fb.com/news/2025/10/introducing-disappearing-posts-on-threads/")</f>
        <v>https://about.fb.com/news/2025/10/introducing-disappearing-posts-on-threads/</v>
      </c>
      <c r="G747"/>
      <c r="H747" t="inlineStr">
        <is>
          <t>Website</t>
        </is>
      </c>
      <c r="I747" t="inlineStr">
        <is>
          <t>งานประจำวัน</t>
        </is>
      </c>
      <c r="J747" t="inlineStr">
        <is>
          <t>Done</t>
        </is>
      </c>
      <c r="K747"/>
      <c r="L747" s="3" t="str">
        <f>=HYPERLINK("https://www.iphonemod.net/introducing-disappearing-ghost-posts-on-threads.html", "https://www.iphonemod.net/introducing-disappearing-ghost-posts-on-threads.html")</f>
        <v>https://www.iphonemod.net/introducing-disappearing-ghost-posts-on-threads.html</v>
      </c>
      <c r="M747" t="inlineStr">
        <is>
          <t>1</t>
        </is>
      </c>
      <c r="N747" t="inlineStr">
        <is>
          <t>Tech</t>
        </is>
      </c>
      <c r="O747"/>
    </row>
    <row r="748" ht="12.75" customHeight="1">
      <c r="A748" t="inlineStr">
        <is>
          <t>OpenAI เผย คนกว่าล้านคนพูดคุยกับ ChatGPT เกี่ยวกับการฆ่าตัวตายทุกสัปดาห์</t>
        </is>
      </c>
      <c r="B748" t="inlineStr">
        <is>
          <t>Nattida Suriyodara</t>
        </is>
      </c>
      <c r="C748" s="2">
        <v>45958</v>
      </c>
      <c r="D748" s="2">
        <v>45958</v>
      </c>
      <c r="E748"/>
      <c r="F748" s="3"/>
      <c r="G748"/>
      <c r="H748" t="inlineStr">
        <is>
          <t>Website</t>
        </is>
      </c>
      <c r="I748" t="inlineStr">
        <is>
          <t>งานประจำวัน</t>
        </is>
      </c>
      <c r="J748" t="inlineStr">
        <is>
          <t>Done</t>
        </is>
      </c>
      <c r="K748"/>
      <c r="L748" s="3"/>
      <c r="M748" t="inlineStr">
        <is>
          <t>1</t>
        </is>
      </c>
      <c r="N748" t="inlineStr">
        <is>
          <t>AI</t>
        </is>
      </c>
      <c r="O748"/>
    </row>
    <row r="749" ht="12.75" customHeight="1">
      <c r="A749" t="inlineStr">
        <is>
          <t>เตรียมตัวก่อนใช้งาน โครงการคนละครึ่ง 2025</t>
        </is>
      </c>
      <c r="B749" t="inlineStr">
        <is>
          <t>Nattida Suriyodara,Sasithakan Sritonthip</t>
        </is>
      </c>
      <c r="C749" s="2">
        <v>45958</v>
      </c>
      <c r="D749" s="2">
        <v>45958</v>
      </c>
      <c r="E749" t="inlineStr">
        <is>
          <t xml:space="preserve">ด่วนมาก! </t>
        </is>
      </c>
      <c r="F749" s="3"/>
      <c r="G749"/>
      <c r="H749" t="inlineStr">
        <is>
          <t>Shorts</t>
        </is>
      </c>
      <c r="I749" t="inlineStr">
        <is>
          <t>งานประจำวัน</t>
        </is>
      </c>
      <c r="J749" t="inlineStr">
        <is>
          <t>Done</t>
        </is>
      </c>
      <c r="K749"/>
      <c r="L749" s="3"/>
      <c r="M749" t="inlineStr">
        <is>
          <t>1</t>
        </is>
      </c>
      <c r="N749" t="inlineStr">
        <is>
          <t>ทั่วไป</t>
        </is>
      </c>
      <c r="O749"/>
    </row>
    <row r="750" ht="12.75" customHeight="1">
      <c r="A750" t="inlineStr">
        <is>
          <t>iPhone Air อาจไม่ได้ยกเลิกการผลิตจริง</t>
        </is>
      </c>
      <c r="B750" t="inlineStr">
        <is>
          <t>Krongkwun  Rithiwong</t>
        </is>
      </c>
      <c r="C750" s="2">
        <v>45958</v>
      </c>
      <c r="D750" s="2">
        <v>45958</v>
      </c>
      <c r="E750" t="inlineStr">
        <is>
          <t>ปกติ</t>
        </is>
      </c>
      <c r="F750" s="3"/>
      <c r="G750"/>
      <c r="H750" t="inlineStr">
        <is>
          <t>Shorts</t>
        </is>
      </c>
      <c r="I750" t="inlineStr">
        <is>
          <t>งานประจำวัน</t>
        </is>
      </c>
      <c r="J750" t="inlineStr">
        <is>
          <t>Done</t>
        </is>
      </c>
      <c r="K750"/>
      <c r="L750" s="3"/>
      <c r="M750" t="inlineStr">
        <is>
          <t>1</t>
        </is>
      </c>
      <c r="N750" t="inlineStr">
        <is>
          <t>Apple</t>
        </is>
      </c>
      <c r="O750"/>
    </row>
    <row r="751" ht="12.75" customHeight="1">
      <c r="A751" t="inlineStr">
        <is>
          <t>บรีฟ Apple Watch Series 11/ Ultra 3</t>
        </is>
      </c>
      <c r="B751" t="inlineStr">
        <is>
          <t>Nattida Suriyodara,Thitirath Kinaret</t>
        </is>
      </c>
      <c r="C751" s="2">
        <v>45957</v>
      </c>
      <c r="D751" s="2">
        <v>45957</v>
      </c>
      <c r="E751"/>
      <c r="F751" s="3"/>
      <c r="G751"/>
      <c r="H751" t="inlineStr">
        <is>
          <t>YouTube</t>
        </is>
      </c>
      <c r="I751" t="inlineStr">
        <is>
          <t>งานประจำวัน</t>
        </is>
      </c>
      <c r="J751" t="inlineStr">
        <is>
          <t>Done</t>
        </is>
      </c>
      <c r="K751"/>
      <c r="L751" s="3"/>
      <c r="M751" t="inlineStr">
        <is>
          <t>1</t>
        </is>
      </c>
      <c r="N751" t="inlineStr">
        <is>
          <t>Apple</t>
        </is>
      </c>
      <c r="O751"/>
    </row>
    <row r="752" ht="12.75" customHeight="1">
      <c r="A752" t="inlineStr">
        <is>
          <t>iPad Pro ชิป M6 อาจใช้ Vapor Chamber</t>
        </is>
      </c>
      <c r="B752" t="inlineStr">
        <is>
          <t>Nattida Suriyodara</t>
        </is>
      </c>
      <c r="C752" s="2">
        <v>45957</v>
      </c>
      <c r="D752" s="2">
        <v>45957</v>
      </c>
      <c r="E752"/>
      <c r="F752" s="3"/>
      <c r="G752"/>
      <c r="H752" t="inlineStr">
        <is>
          <t>Website</t>
        </is>
      </c>
      <c r="I752" t="inlineStr">
        <is>
          <t>งานประจำวัน</t>
        </is>
      </c>
      <c r="J752" t="inlineStr">
        <is>
          <t>Done</t>
        </is>
      </c>
      <c r="K752"/>
      <c r="L752" s="3"/>
      <c r="M752" t="inlineStr">
        <is>
          <t>1</t>
        </is>
      </c>
      <c r="N752" t="inlineStr">
        <is>
          <t>Apple</t>
        </is>
      </c>
      <c r="O752"/>
    </row>
    <row r="753" ht="12.75" customHeight="1">
      <c r="A753" t="inlineStr">
        <is>
          <t>Samsung พัฒนาชิป Exynos สำหรับดาวเทียม SpaceX</t>
        </is>
      </c>
      <c r="B753" t="inlineStr">
        <is>
          <t>Saktaphat Kordjan</t>
        </is>
      </c>
      <c r="C753" s="2">
        <v>45957</v>
      </c>
      <c r="D753" s="2">
        <v>45957</v>
      </c>
      <c r="E753"/>
      <c r="F753" s="3"/>
      <c r="G753"/>
      <c r="H753" t="inlineStr">
        <is>
          <t>Website</t>
        </is>
      </c>
      <c r="I753" t="inlineStr">
        <is>
          <t>งานประจำวัน</t>
        </is>
      </c>
      <c r="J753" t="inlineStr">
        <is>
          <t>Done</t>
        </is>
      </c>
      <c r="K753"/>
      <c r="L753" s="3"/>
      <c r="M753" t="inlineStr">
        <is>
          <t>1</t>
        </is>
      </c>
      <c r="N753" t="inlineStr">
        <is>
          <t>Tech</t>
        </is>
      </c>
      <c r="O753"/>
    </row>
    <row r="754" ht="12.75" customHeight="1">
      <c r="A754" t="inlineStr">
        <is>
          <t>Nothing OS 4.0 เพิ่มฟีเจอร์ใหม่ คล้ายการแสดงโฆษณาบนหน้าจอล็อค</t>
        </is>
      </c>
      <c r="B754" t="inlineStr">
        <is>
          <t>Saktaphat Kordjan</t>
        </is>
      </c>
      <c r="C754" s="2">
        <v>45957</v>
      </c>
      <c r="D754" s="2">
        <v>45957</v>
      </c>
      <c r="E754"/>
      <c r="F754" s="3"/>
      <c r="G754"/>
      <c r="H754" t="inlineStr">
        <is>
          <t>Website</t>
        </is>
      </c>
      <c r="I754" t="inlineStr">
        <is>
          <t>งานประจำวัน</t>
        </is>
      </c>
      <c r="J754" t="inlineStr">
        <is>
          <t>Done</t>
        </is>
      </c>
      <c r="K754"/>
      <c r="L754" s="3"/>
      <c r="M754" t="inlineStr">
        <is>
          <t>1</t>
        </is>
      </c>
      <c r="N754" t="inlineStr">
        <is>
          <t>Android</t>
        </is>
      </c>
      <c r="O754"/>
    </row>
    <row r="755" ht="12.75" customHeight="1">
      <c r="A755" t="inlineStr">
        <is>
          <t xml:space="preserve">คาดหวังอะไรกับ Galaxy S26 Series EP.1 </t>
        </is>
      </c>
      <c r="B755" t="inlineStr">
        <is>
          <t>Saktaphat Kordjan</t>
        </is>
      </c>
      <c r="C755" s="2">
        <v>45957</v>
      </c>
      <c r="D755" s="2">
        <v>45957</v>
      </c>
      <c r="E755"/>
      <c r="F755" s="3"/>
      <c r="G755"/>
      <c r="H755" t="inlineStr">
        <is>
          <t>Shorts</t>
        </is>
      </c>
      <c r="I755" t="inlineStr">
        <is>
          <t>งานประจำวัน</t>
        </is>
      </c>
      <c r="J755" t="inlineStr">
        <is>
          <t>Done</t>
        </is>
      </c>
      <c r="K755"/>
      <c r="L755" s="3"/>
      <c r="M755" t="inlineStr">
        <is>
          <t>1</t>
        </is>
      </c>
      <c r="N755" t="inlineStr">
        <is>
          <t>Android</t>
        </is>
      </c>
      <c r="O755"/>
    </row>
    <row r="756" ht="12.75" customHeight="1">
      <c r="A756" t="inlineStr">
        <is>
          <t>Apple อาจจะข้าม iPhone 19 ไปเปฌน iPhone 20</t>
        </is>
      </c>
      <c r="B756" t="inlineStr">
        <is>
          <t>Krongkwun  Rithiwong</t>
        </is>
      </c>
      <c r="C756" s="2">
        <v>45957</v>
      </c>
      <c r="D756" s="2">
        <v>45957</v>
      </c>
      <c r="E756" t="inlineStr">
        <is>
          <t>ปกติ</t>
        </is>
      </c>
      <c r="F756" s="3"/>
      <c r="G756"/>
      <c r="H756" t="inlineStr">
        <is>
          <t>Shorts</t>
        </is>
      </c>
      <c r="I756" t="inlineStr">
        <is>
          <t>งานประจำวัน</t>
        </is>
      </c>
      <c r="J756" t="inlineStr">
        <is>
          <t>Done</t>
        </is>
      </c>
      <c r="K756"/>
      <c r="L756" s="3"/>
      <c r="M756" t="inlineStr">
        <is>
          <t>1</t>
        </is>
      </c>
      <c r="N756" t="inlineStr">
        <is>
          <t>Apple</t>
        </is>
      </c>
      <c r="O756"/>
    </row>
    <row r="757" ht="12.75" customHeight="1">
      <c r="A757" t="inlineStr">
        <is>
          <t>IKEA เปิดตัว! เตียงโทรศัพท์ NFC ขนาดเล็ก เพื่อลดการเล่นโทรศัพท์ตอนกลางคืน</t>
        </is>
      </c>
      <c r="B757" t="inlineStr">
        <is>
          <t>Sasithakan Sritonthip</t>
        </is>
      </c>
      <c r="C757" s="2">
        <v>45954</v>
      </c>
      <c r="D757" s="2">
        <v>45954</v>
      </c>
      <c r="E757" t="inlineStr">
        <is>
          <t>ปกติ</t>
        </is>
      </c>
      <c r="F757" s="3" t="str">
        <f>=HYPERLINK("https://www.macrumors.com/2025/10/23/ikea-mini-phone-bed/", "https://www.macrumors.com/2025/10/23/ikea-mini-phone-bed/")</f>
        <v>https://www.macrumors.com/2025/10/23/ikea-mini-phone-bed/</v>
      </c>
      <c r="G757"/>
      <c r="H757" t="inlineStr">
        <is>
          <t>Website</t>
        </is>
      </c>
      <c r="I757" t="inlineStr">
        <is>
          <t>งานประจำวัน</t>
        </is>
      </c>
      <c r="J757" t="inlineStr">
        <is>
          <t>Done</t>
        </is>
      </c>
      <c r="K757"/>
      <c r="L757" s="3" t="str">
        <f>=HYPERLINK("https://www.iphonemod.net/ikea-debuts-miniature-nfc-phone-bed-to-combat-nighttime-phone-scrolling.html", "https://www.iphonemod.net/ikea-debuts-miniature-nfc-phone-bed-to-combat-nighttime-phone-scrolling.html")</f>
        <v>https://www.iphonemod.net/ikea-debuts-miniature-nfc-phone-bed-to-combat-nighttime-phone-scrolling.html</v>
      </c>
      <c r="M757" t="inlineStr">
        <is>
          <t>1</t>
        </is>
      </c>
      <c r="N757" t="inlineStr">
        <is>
          <t>Apple</t>
        </is>
      </c>
      <c r="O757"/>
    </row>
    <row r="758" ht="12.75" customHeight="1">
      <c r="A758" t="inlineStr">
        <is>
          <t>OpenAI เข้าซื้อกิจการอดีตทีมผู้สร้าง Apple Shortcuts</t>
        </is>
      </c>
      <c r="B758" t="inlineStr">
        <is>
          <t>Nattida Suriyodara</t>
        </is>
      </c>
      <c r="C758" s="2">
        <v>45954</v>
      </c>
      <c r="D758" s="2">
        <v>45954</v>
      </c>
      <c r="E758"/>
      <c r="F758" s="3"/>
      <c r="G758"/>
      <c r="H758" t="inlineStr">
        <is>
          <t>Website</t>
        </is>
      </c>
      <c r="I758" t="inlineStr">
        <is>
          <t>งานประจำวัน</t>
        </is>
      </c>
      <c r="J758" t="inlineStr">
        <is>
          <t>Done</t>
        </is>
      </c>
      <c r="K758"/>
      <c r="L758" s="3"/>
      <c r="M758" t="inlineStr">
        <is>
          <t>1</t>
        </is>
      </c>
      <c r="N758" t="inlineStr">
        <is>
          <t>AI</t>
        </is>
      </c>
      <c r="O758"/>
    </row>
    <row r="759" ht="12.75" customHeight="1">
      <c r="A759" t="inlineStr">
        <is>
          <t>iPhone Air ถูกยกเลิกการผลิต 80%</t>
        </is>
      </c>
      <c r="B759" t="inlineStr">
        <is>
          <t>Krongkwun  Rithiwong</t>
        </is>
      </c>
      <c r="C759" s="2">
        <v>45954</v>
      </c>
      <c r="D759" s="2">
        <v>45954</v>
      </c>
      <c r="E759" t="inlineStr">
        <is>
          <t>ปกติ</t>
        </is>
      </c>
      <c r="F759" s="3"/>
      <c r="G759"/>
      <c r="H759" t="inlineStr">
        <is>
          <t>Shorts</t>
        </is>
      </c>
      <c r="I759" t="inlineStr">
        <is>
          <t>งานประจำวัน</t>
        </is>
      </c>
      <c r="J759" t="inlineStr">
        <is>
          <t>Done</t>
        </is>
      </c>
      <c r="K759"/>
      <c r="L759" s="3"/>
      <c r="M759" t="inlineStr">
        <is>
          <t>1</t>
        </is>
      </c>
      <c r="N759" t="inlineStr">
        <is>
          <t>Apple</t>
        </is>
      </c>
      <c r="O759"/>
    </row>
    <row r="760" ht="12.75" customHeight="1">
      <c r="A760" t="inlineStr">
        <is>
          <t>OpenAI เข้าซื้อกิจการอดีตทีมผู้สร้าง Apple Shortcuts</t>
        </is>
      </c>
      <c r="B760" t="inlineStr">
        <is>
          <t>Nattida Suriyodara</t>
        </is>
      </c>
      <c r="C760" s="2">
        <v>45954</v>
      </c>
      <c r="D760" s="2">
        <v>45954</v>
      </c>
      <c r="E760"/>
      <c r="F760" s="3"/>
      <c r="G760"/>
      <c r="H760" t="inlineStr">
        <is>
          <t>Pic Posts / Album</t>
        </is>
      </c>
      <c r="I760" t="inlineStr">
        <is>
          <t>งานประจำวัน</t>
        </is>
      </c>
      <c r="J760" t="inlineStr">
        <is>
          <t>Done</t>
        </is>
      </c>
      <c r="K760"/>
      <c r="L760" s="3"/>
      <c r="M760" t="inlineStr">
        <is>
          <t>1</t>
        </is>
      </c>
      <c r="N760" t="inlineStr">
        <is>
          <t>Apple, AI</t>
        </is>
      </c>
      <c r="O760"/>
    </row>
    <row r="761" ht="12.75" customHeight="1">
      <c r="A761" t="inlineStr">
        <is>
          <t>(ตัดจากคลิปใหญ่) Apple Watch SE 3 เหมาะกับใคร?</t>
        </is>
      </c>
      <c r="B761" t="inlineStr">
        <is>
          <t>Nattida Suriyodara,Sasithakan Sritonthip</t>
        </is>
      </c>
      <c r="C761" s="2">
        <v>45954</v>
      </c>
      <c r="D761" s="2">
        <v>45954</v>
      </c>
      <c r="E761" t="inlineStr">
        <is>
          <t>ปกติ</t>
        </is>
      </c>
      <c r="F761" s="3" t="str">
        <f>=HYPERLINK("https://www.youtube.com/watch?v=04nMgUe1adI&amp;t=2s", "https://www.youtube.com/watch?v=04nMgUe1adI&amp;t=2s")</f>
        <v>https://www.youtube.com/watch?v=04nMgUe1adI&amp;t=2s</v>
      </c>
      <c r="G761"/>
      <c r="H761" t="inlineStr">
        <is>
          <t>Shorts</t>
        </is>
      </c>
      <c r="I761" t="inlineStr">
        <is>
          <t>งานประจำวัน</t>
        </is>
      </c>
      <c r="J761" t="inlineStr">
        <is>
          <t>Done</t>
        </is>
      </c>
      <c r="K761"/>
      <c r="L761" s="3"/>
      <c r="M761" t="inlineStr">
        <is>
          <t>1</t>
        </is>
      </c>
      <c r="N761" t="inlineStr">
        <is>
          <t>Apple</t>
        </is>
      </c>
      <c r="O761"/>
    </row>
    <row r="762" ht="12.75" customHeight="1">
      <c r="A762" t="inlineStr">
        <is>
          <t>(ตัดจากคลิปใหญ่) ฟีเจอร์ Aod บน Apple Waetch SE 3</t>
        </is>
      </c>
      <c r="B762" t="inlineStr">
        <is>
          <t>Nattida Suriyodara,Sasithakan Sritonthip</t>
        </is>
      </c>
      <c r="C762" s="2">
        <v>45954</v>
      </c>
      <c r="D762" s="2">
        <v>45954</v>
      </c>
      <c r="E762" t="inlineStr">
        <is>
          <t>ปกติ</t>
        </is>
      </c>
      <c r="F762" s="3" t="str">
        <f>=HYPERLINK("https://www.youtube.com/watch?v=04nMgUe1adI&amp;t=2s", "https://www.youtube.com/watch?v=04nMgUe1adI&amp;t=2s")</f>
        <v>https://www.youtube.com/watch?v=04nMgUe1adI&amp;t=2s</v>
      </c>
      <c r="G762"/>
      <c r="H762" t="inlineStr">
        <is>
          <t>Shorts</t>
        </is>
      </c>
      <c r="I762" t="inlineStr">
        <is>
          <t>งานประจำวัน</t>
        </is>
      </c>
      <c r="J762" t="inlineStr">
        <is>
          <t>Done</t>
        </is>
      </c>
      <c r="K762"/>
      <c r="L762" s="3"/>
      <c r="M762" t="inlineStr">
        <is>
          <t>1</t>
        </is>
      </c>
      <c r="N762" t="inlineStr">
        <is>
          <t>Apple</t>
        </is>
      </c>
      <c r="O762"/>
    </row>
    <row r="763" ht="12.75" customHeight="1">
      <c r="A763" t="inlineStr">
        <is>
          <t>(ตัดจากคลิปใหญ่) Apple Watch SE 3 แบตลดไวไหม?</t>
        </is>
      </c>
      <c r="B763" t="inlineStr">
        <is>
          <t>Nattida Suriyodara,Sasithakan Sritonthip</t>
        </is>
      </c>
      <c r="C763" s="2">
        <v>45954</v>
      </c>
      <c r="D763" s="2">
        <v>45954</v>
      </c>
      <c r="E763" t="inlineStr">
        <is>
          <t>ปกติ</t>
        </is>
      </c>
      <c r="F763" s="3" t="str">
        <f>=HYPERLINK("https://www.youtube.com/watch?v=04nMgUe1adI&amp;t=2s", "https://www.youtube.com/watch?v=04nMgUe1adI&amp;t=2s")</f>
        <v>https://www.youtube.com/watch?v=04nMgUe1adI&amp;t=2s</v>
      </c>
      <c r="G763"/>
      <c r="H763" t="inlineStr">
        <is>
          <t>Shorts</t>
        </is>
      </c>
      <c r="I763" t="inlineStr">
        <is>
          <t>งานประจำวัน</t>
        </is>
      </c>
      <c r="J763" t="inlineStr">
        <is>
          <t>Done</t>
        </is>
      </c>
      <c r="K763"/>
      <c r="L763" s="3"/>
      <c r="M763" t="inlineStr">
        <is>
          <t>1</t>
        </is>
      </c>
      <c r="N763" t="inlineStr">
        <is>
          <t>Apple</t>
        </is>
      </c>
      <c r="O763"/>
    </row>
    <row r="764" ht="12.75" customHeight="1">
      <c r="A764" t="inlineStr">
        <is>
          <t xml:space="preserve">วางขาย iPad Pro M5 </t>
        </is>
      </c>
      <c r="B764" t="inlineStr">
        <is>
          <t>Nattida Suriyodara</t>
        </is>
      </c>
      <c r="C764" s="2">
        <v>45954</v>
      </c>
      <c r="D764" s="2">
        <v>45954</v>
      </c>
      <c r="E764"/>
      <c r="F764" s="3"/>
      <c r="G764"/>
      <c r="H764" t="inlineStr">
        <is>
          <t>Shorts</t>
        </is>
      </c>
      <c r="I764" t="inlineStr">
        <is>
          <t>งานประจำวัน</t>
        </is>
      </c>
      <c r="J764" t="inlineStr">
        <is>
          <t>Done</t>
        </is>
      </c>
      <c r="K764"/>
      <c r="L764" s="3"/>
      <c r="M764" t="inlineStr">
        <is>
          <t>1</t>
        </is>
      </c>
      <c r="N764" t="inlineStr">
        <is>
          <t>Apple</t>
        </is>
      </c>
      <c r="O764"/>
    </row>
    <row r="765" ht="12.75" customHeight="1">
      <c r="A765" t="inlineStr">
        <is>
          <t>เฉลยสาเหตุ iPhone 17 สีชมพู</t>
        </is>
      </c>
      <c r="B765" t="inlineStr">
        <is>
          <t>Krongkwun  Rithiwong,Sasithakan Sritonthip</t>
        </is>
      </c>
      <c r="C765" s="2">
        <v>45954</v>
      </c>
      <c r="D765" s="2">
        <v>45954</v>
      </c>
      <c r="E765" t="inlineStr">
        <is>
          <t>ปกติ</t>
        </is>
      </c>
      <c r="F765" s="3"/>
      <c r="G765"/>
      <c r="H765" t="inlineStr">
        <is>
          <t>Shorts</t>
        </is>
      </c>
      <c r="I765" t="inlineStr">
        <is>
          <t>งานประจำวัน</t>
        </is>
      </c>
      <c r="J765" t="inlineStr">
        <is>
          <t>Done</t>
        </is>
      </c>
      <c r="K765"/>
      <c r="L765" s="3"/>
      <c r="M765" t="inlineStr">
        <is>
          <t>1</t>
        </is>
      </c>
      <c r="N765" t="inlineStr">
        <is>
          <t>Apple</t>
        </is>
      </c>
      <c r="O765"/>
    </row>
    <row r="766" ht="12.75" customHeight="1">
      <c r="A766" t="inlineStr">
        <is>
          <t>สาเหตุ iPhone สีชมพู</t>
        </is>
      </c>
      <c r="B766" t="inlineStr">
        <is>
          <t>Krongkwun  Rithiwong,Sasithakan Sritonthip</t>
        </is>
      </c>
      <c r="C766" s="2">
        <v>45954</v>
      </c>
      <c r="D766" s="2">
        <v>45954</v>
      </c>
      <c r="E766" t="inlineStr">
        <is>
          <t>ปกติ</t>
        </is>
      </c>
      <c r="F766" s="3"/>
      <c r="G766"/>
      <c r="H766" t="inlineStr">
        <is>
          <t>Shorts</t>
        </is>
      </c>
      <c r="I766" t="inlineStr">
        <is>
          <t>งานประจำวัน</t>
        </is>
      </c>
      <c r="J766" t="inlineStr">
        <is>
          <t>Done</t>
        </is>
      </c>
      <c r="K766"/>
      <c r="L766" s="3"/>
      <c r="M766" t="inlineStr">
        <is>
          <t>1</t>
        </is>
      </c>
      <c r="N766" t="inlineStr">
        <is>
          <t>Apple</t>
        </is>
      </c>
      <c r="O766"/>
    </row>
    <row r="767" ht="12.75" customHeight="1">
      <c r="A767" t="inlineStr">
        <is>
          <t>ChaGPT Atlas</t>
        </is>
      </c>
      <c r="B767" t="inlineStr">
        <is>
          <t>Thitirath Kinaret,Sasithakan Sritonthip</t>
        </is>
      </c>
      <c r="C767" s="2">
        <v>45952</v>
      </c>
      <c r="D767" s="2">
        <v>45952</v>
      </c>
      <c r="E767" t="inlineStr">
        <is>
          <t>ปกติ</t>
        </is>
      </c>
      <c r="F767" s="3" t="str">
        <f>=HYPERLINK("https://chatgpt.com/atlas?openaicom_referred=true", "https://chatgpt.com/atlas?openaicom_referred=true")</f>
        <v>https://chatgpt.com/atlas?openaicom_referred=true</v>
      </c>
      <c r="G767"/>
      <c r="H767" t="inlineStr">
        <is>
          <t>Shorts</t>
        </is>
      </c>
      <c r="I767" t="inlineStr">
        <is>
          <t>งานประจำวัน</t>
        </is>
      </c>
      <c r="J767" t="inlineStr">
        <is>
          <t>Done</t>
        </is>
      </c>
      <c r="K767"/>
      <c r="L767" s="3"/>
      <c r="M767" t="inlineStr">
        <is>
          <t>1</t>
        </is>
      </c>
      <c r="N767" t="inlineStr">
        <is>
          <t>AI</t>
        </is>
      </c>
      <c r="O767"/>
    </row>
    <row r="768" ht="12.75" customHeight="1">
      <c r="A768" t="inlineStr">
        <is>
          <t>Apple Watch เริ่ม 8,500.-</t>
        </is>
      </c>
      <c r="B768" t="inlineStr">
        <is>
          <t>Thitirath Kinaret</t>
        </is>
      </c>
      <c r="C768" s="2">
        <v>45952</v>
      </c>
      <c r="D768" s="2">
        <v>45952.75</v>
      </c>
      <c r="E768"/>
      <c r="F768" s="3"/>
      <c r="G768"/>
      <c r="H768" t="inlineStr">
        <is>
          <t>Pic Posts / Album</t>
        </is>
      </c>
      <c r="I768" t="inlineStr">
        <is>
          <t>งานลูกค้า</t>
        </is>
      </c>
      <c r="J768" t="inlineStr">
        <is>
          <t>Done</t>
        </is>
      </c>
      <c r="K768"/>
      <c r="L768" s="3"/>
      <c r="M768" t="inlineStr">
        <is>
          <t>1</t>
        </is>
      </c>
      <c r="N768" t="inlineStr">
        <is>
          <t>Apple</t>
        </is>
      </c>
      <c r="O768" t="inlineStr">
        <is>
          <t>Studio 7</t>
        </is>
      </c>
    </row>
    <row r="769" ht="12.75" customHeight="1">
      <c r="A769" t="inlineStr">
        <is>
          <t>Youtube Likeness Detection</t>
        </is>
      </c>
      <c r="B769" t="inlineStr">
        <is>
          <t>Krongkwun  Rithiwong</t>
        </is>
      </c>
      <c r="C769" s="2">
        <v>45952</v>
      </c>
      <c r="D769" s="2">
        <v>45952</v>
      </c>
      <c r="E769" t="inlineStr">
        <is>
          <t>ปกติ</t>
        </is>
      </c>
      <c r="F769" s="3"/>
      <c r="G769"/>
      <c r="H769" t="inlineStr">
        <is>
          <t>Shorts</t>
        </is>
      </c>
      <c r="I769" t="inlineStr">
        <is>
          <t>งานประจำวัน</t>
        </is>
      </c>
      <c r="J769" t="inlineStr">
        <is>
          <t>Done</t>
        </is>
      </c>
      <c r="K769"/>
      <c r="L769" s="3"/>
      <c r="M769" t="inlineStr">
        <is>
          <t>1</t>
        </is>
      </c>
      <c r="N769" t="inlineStr">
        <is>
          <t>AI, Tech</t>
        </is>
      </c>
      <c r="O769"/>
    </row>
    <row r="770" ht="12.75" customHeight="1">
      <c r="A770" t="inlineStr">
        <is>
          <t>เปิดตัว Samsung Galaxy XR</t>
        </is>
      </c>
      <c r="B770" t="inlineStr">
        <is>
          <t>Saktaphat Kordjan</t>
        </is>
      </c>
      <c r="C770" s="2">
        <v>45952</v>
      </c>
      <c r="D770" s="2">
        <v>45952</v>
      </c>
      <c r="E770"/>
      <c r="F770" s="3"/>
      <c r="G770"/>
      <c r="H770" t="inlineStr">
        <is>
          <t>Website, Pic Posts / Album, Shorts</t>
        </is>
      </c>
      <c r="I770" t="inlineStr">
        <is>
          <t>เสนอไอเดีย</t>
        </is>
      </c>
      <c r="J770" t="inlineStr">
        <is>
          <t>Done</t>
        </is>
      </c>
      <c r="K770"/>
      <c r="L770" s="3"/>
      <c r="M770" t="inlineStr">
        <is>
          <t>1</t>
        </is>
      </c>
      <c r="N770" t="inlineStr">
        <is>
          <t>Android</t>
        </is>
      </c>
      <c r="O770"/>
    </row>
    <row r="771" ht="12.75" customHeight="1">
      <c r="A771" t="inlineStr">
        <is>
          <t xml:space="preserve">รีวิว Apple Watch SE 3 </t>
        </is>
      </c>
      <c r="B771" t="inlineStr">
        <is>
          <t>Nattida Suriyodara</t>
        </is>
      </c>
      <c r="C771" s="2">
        <v>45951</v>
      </c>
      <c r="D771" s="2">
        <v>45950</v>
      </c>
      <c r="E771"/>
      <c r="F771" s="3"/>
      <c r="G771"/>
      <c r="H771" t="inlineStr">
        <is>
          <t>YouTube</t>
        </is>
      </c>
      <c r="I771" t="inlineStr">
        <is>
          <t>งานประจำวัน</t>
        </is>
      </c>
      <c r="J771" t="inlineStr">
        <is>
          <t>Done</t>
        </is>
      </c>
      <c r="K771"/>
      <c r="L771" s="3"/>
      <c r="M771" t="inlineStr">
        <is>
          <t>1</t>
        </is>
      </c>
      <c r="N771" t="inlineStr">
        <is>
          <t>AI</t>
        </is>
      </c>
      <c r="O771"/>
    </row>
    <row r="772" ht="12.75" customHeight="1">
      <c r="A772" t="inlineStr">
        <is>
          <t>Apple เผยในโฆษณาว่า "Great ideas start on Mac" - "ความคิดดีๆ เริ่มต้นจาก Mac"</t>
        </is>
      </c>
      <c r="B772" t="inlineStr">
        <is>
          <t>Sasithakan Sritonthip</t>
        </is>
      </c>
      <c r="C772" s="2">
        <v>45951</v>
      </c>
      <c r="D772" s="2">
        <v>45951</v>
      </c>
      <c r="E772" t="inlineStr">
        <is>
          <t>ปกติ</t>
        </is>
      </c>
      <c r="F772" s="3" t="str">
        <f>=HYPERLINK("https://www.macrumors.com/2025/10/20/apple-great-ideas-start-on-mac-ad/", "https://www.macrumors.com/2025/10/20/apple-great-ideas-start-on-mac-ad/")</f>
        <v>https://www.macrumors.com/2025/10/20/apple-great-ideas-start-on-mac-ad/</v>
      </c>
      <c r="G772"/>
      <c r="H772" t="inlineStr">
        <is>
          <t>Website</t>
        </is>
      </c>
      <c r="I772" t="inlineStr">
        <is>
          <t>งานประจำวัน</t>
        </is>
      </c>
      <c r="J772" t="inlineStr">
        <is>
          <t>Done</t>
        </is>
      </c>
      <c r="K772"/>
      <c r="L772" s="3" t="str">
        <f>=HYPERLINK("https://www.iphonemod.net/apple-says-great-ideas-start-on-mac-in-ad-voiced-by-dr-jane-goodall.html", "https://www.iphonemod.net/apple-says-great-ideas-start-on-mac-in-ad-voiced-by-dr-jane-goodall.html")</f>
        <v>https://www.iphonemod.net/apple-says-great-ideas-start-on-mac-in-ad-voiced-by-dr-jane-goodall.html</v>
      </c>
      <c r="M772" t="inlineStr">
        <is>
          <t>1</t>
        </is>
      </c>
      <c r="N772" t="inlineStr">
        <is>
          <t>Apple</t>
        </is>
      </c>
      <c r="O772"/>
    </row>
    <row r="773" ht="12.75" customHeight="1">
      <c r="A773" t="inlineStr">
        <is>
          <t>หุ้น Apple New High</t>
        </is>
      </c>
      <c r="B773" t="inlineStr">
        <is>
          <t>Krongkwun  Rithiwong</t>
        </is>
      </c>
      <c r="C773" s="2">
        <v>45951</v>
      </c>
      <c r="D773" s="2">
        <v>45951</v>
      </c>
      <c r="E773" t="inlineStr">
        <is>
          <t>ปกติ</t>
        </is>
      </c>
      <c r="F773" s="3"/>
      <c r="G773"/>
      <c r="H773" t="inlineStr">
        <is>
          <t>Shorts</t>
        </is>
      </c>
      <c r="I773" t="inlineStr">
        <is>
          <t>งานประจำวัน</t>
        </is>
      </c>
      <c r="J773" t="inlineStr">
        <is>
          <t>Done</t>
        </is>
      </c>
      <c r="K773"/>
      <c r="L773" s="3"/>
      <c r="M773" t="inlineStr">
        <is>
          <t>1</t>
        </is>
      </c>
      <c r="N773" t="inlineStr">
        <is>
          <t>Apple</t>
        </is>
      </c>
      <c r="O773"/>
    </row>
    <row r="774" ht="12.75" customHeight="1">
      <c r="A774" t="inlineStr">
        <is>
          <t>Anthropic เปิดตัวฟีเจอร์ Claude Code สำหรับ iOS และเว็บไซต์</t>
        </is>
      </c>
      <c r="B774" t="inlineStr">
        <is>
          <t>Sasithakan Sritonthip</t>
        </is>
      </c>
      <c r="C774" s="2">
        <v>45951</v>
      </c>
      <c r="D774" s="2">
        <v>45951</v>
      </c>
      <c r="E774" t="inlineStr">
        <is>
          <t>ปกติ</t>
        </is>
      </c>
      <c r="F774" s="3" t="str">
        <f>=HYPERLINK("https://9to5mac.com/2025/10/20/claude-code-preview-ios-iphone/", "https://9to5mac.com/2025/10/20/claude-code-preview-ios-iphone/")</f>
        <v>https://9to5mac.com/2025/10/20/claude-code-preview-ios-iphone/</v>
      </c>
      <c r="G774"/>
      <c r="H774" t="inlineStr">
        <is>
          <t>Website</t>
        </is>
      </c>
      <c r="I774" t="inlineStr">
        <is>
          <t>งานประจำวัน</t>
        </is>
      </c>
      <c r="J774" t="inlineStr">
        <is>
          <t>Done</t>
        </is>
      </c>
      <c r="K774"/>
      <c r="L774" s="3" t="str">
        <f>=HYPERLINK("https://www.iphonemod.net/claude-code-comes-to-ios-and-web-as-research-preview.html", "https://www.iphonemod.net/claude-code-comes-to-ios-and-web-as-research-preview.html")</f>
        <v>https://www.iphonemod.net/claude-code-comes-to-ios-and-web-as-research-preview.html</v>
      </c>
      <c r="M774" t="inlineStr">
        <is>
          <t>1</t>
        </is>
      </c>
      <c r="N774" t="inlineStr">
        <is>
          <t>AI</t>
        </is>
      </c>
      <c r="O774"/>
    </row>
    <row r="775" ht="12.75" customHeight="1">
      <c r="A775" t="inlineStr">
        <is>
          <t>Apple ปรับลดกำลังการผลิต iPhone Air + Galaxy Edge</t>
        </is>
      </c>
      <c r="B775" t="inlineStr">
        <is>
          <t>Krongkwun  Rithiwong</t>
        </is>
      </c>
      <c r="C775" s="2">
        <v>45950.39759259259</v>
      </c>
      <c r="D775" s="2">
        <v>45950.39759259259</v>
      </c>
      <c r="E775" t="inlineStr">
        <is>
          <t>ด่วน!</t>
        </is>
      </c>
      <c r="F775" s="3"/>
      <c r="G775"/>
      <c r="H775" t="inlineStr">
        <is>
          <t>Shorts</t>
        </is>
      </c>
      <c r="I775" t="inlineStr">
        <is>
          <t>งานประจำวัน</t>
        </is>
      </c>
      <c r="J775" t="inlineStr">
        <is>
          <t>Done</t>
        </is>
      </c>
      <c r="K775"/>
      <c r="L775" s="3"/>
      <c r="M775" t="inlineStr">
        <is>
          <t>1</t>
        </is>
      </c>
      <c r="N775" t="inlineStr">
        <is>
          <t>Apple, Android</t>
        </is>
      </c>
      <c r="O775"/>
    </row>
    <row r="776" ht="12.75" customHeight="1">
      <c r="A776" t="inlineStr">
        <is>
          <t>ระบบ Face ID ยังคงเป็นเรื่องยาก ที่จะนำมาใช้บน Mac รุ่นถัดไปเร็ว ๆ นี้</t>
        </is>
      </c>
      <c r="B776" t="inlineStr">
        <is>
          <t>Sasithakan Sritonthip</t>
        </is>
      </c>
      <c r="C776" s="2">
        <v>45950</v>
      </c>
      <c r="D776" s="2">
        <v>45950</v>
      </c>
      <c r="E776" t="inlineStr">
        <is>
          <t>ปกติ</t>
        </is>
      </c>
      <c r="F776" s="3" t="str">
        <f>=HYPERLINK("https://www.macrumors.com/2025/10/16/macbook-pro-oled-touch-screen/", "https://www.macrumors.com/2025/10/16/macbook-pro-oled-touch-screen/")</f>
        <v>https://www.macrumors.com/2025/10/16/macbook-pro-oled-touch-screen/</v>
      </c>
      <c r="G776"/>
      <c r="H776" t="inlineStr">
        <is>
          <t>Website</t>
        </is>
      </c>
      <c r="I776" t="inlineStr">
        <is>
          <t>งานประจำวัน</t>
        </is>
      </c>
      <c r="J776" t="inlineStr">
        <is>
          <t>Done</t>
        </is>
      </c>
      <c r="K776"/>
      <c r="L776" s="3"/>
      <c r="M776" t="inlineStr">
        <is>
          <t>1</t>
        </is>
      </c>
      <c r="N776" t="inlineStr">
        <is>
          <t>Apple</t>
        </is>
      </c>
      <c r="O776"/>
    </row>
    <row r="777" ht="12.75" customHeight="1">
      <c r="A777" t="inlineStr">
        <is>
          <t>iPhone 17 Pro กล้องหน้าดีที่สุด</t>
        </is>
      </c>
      <c r="B777" t="inlineStr">
        <is>
          <t>Krongkwun  Rithiwong</t>
        </is>
      </c>
      <c r="C777" s="2">
        <v>45950</v>
      </c>
      <c r="D777" s="2">
        <v>45950</v>
      </c>
      <c r="E777" t="inlineStr">
        <is>
          <t>ปกติ</t>
        </is>
      </c>
      <c r="F777" s="3"/>
      <c r="G777"/>
      <c r="H777" t="inlineStr">
        <is>
          <t>Shorts</t>
        </is>
      </c>
      <c r="I777" t="inlineStr">
        <is>
          <t>งานประจำวัน</t>
        </is>
      </c>
      <c r="J777" t="inlineStr">
        <is>
          <t>Done</t>
        </is>
      </c>
      <c r="K777"/>
      <c r="L777" s="3"/>
      <c r="M777" t="inlineStr">
        <is>
          <t>1</t>
        </is>
      </c>
      <c r="N777" t="inlineStr">
        <is>
          <t>Apple</t>
        </is>
      </c>
      <c r="O777"/>
    </row>
    <row r="778" ht="12.75" customHeight="1">
      <c r="A778" t="inlineStr">
        <is>
          <t>iPhone Air ขายหมดเกลี้ยงทันที หลังเปิดวางขายในประเทศจีน</t>
        </is>
      </c>
      <c r="B778" t="inlineStr">
        <is>
          <t>Sasithakan Sritonthip</t>
        </is>
      </c>
      <c r="C778" s="2">
        <v>45950</v>
      </c>
      <c r="D778" s="2">
        <v>45950</v>
      </c>
      <c r="E778" t="inlineStr">
        <is>
          <t>ปกติ</t>
        </is>
      </c>
      <c r="F778" s="3" t="str">
        <f>=HYPERLINK("https://9to5mac.com/2025/10/17/iphone-air-sells-out-almost-instantly-in-china/", "https://9to5mac.com/2025/10/17/iphone-air-sells-out-almost-instantly-in-china/")</f>
        <v>https://9to5mac.com/2025/10/17/iphone-air-sells-out-almost-instantly-in-china/</v>
      </c>
      <c r="G778"/>
      <c r="H778" t="inlineStr">
        <is>
          <t>Website</t>
        </is>
      </c>
      <c r="I778" t="inlineStr">
        <is>
          <t>งานประจำวัน</t>
        </is>
      </c>
      <c r="J778" t="inlineStr">
        <is>
          <t>Done</t>
        </is>
      </c>
      <c r="K778"/>
      <c r="L778" s="3"/>
      <c r="M778" t="inlineStr">
        <is>
          <t>1</t>
        </is>
      </c>
      <c r="N778" t="inlineStr">
        <is>
          <t>Apple</t>
        </is>
      </c>
      <c r="O778"/>
    </row>
    <row r="779" ht="12.75" customHeight="1">
      <c r="A779" t="inlineStr">
        <is>
          <t xml:space="preserve">S26 Series อาจเลื่อนเปิดตัว </t>
        </is>
      </c>
      <c r="B779" t="inlineStr">
        <is>
          <t>Saktaphat Kordjan</t>
        </is>
      </c>
      <c r="C779" s="2">
        <v>45950</v>
      </c>
      <c r="D779" s="2">
        <v>45950</v>
      </c>
      <c r="E779"/>
      <c r="F779" s="3"/>
      <c r="G779"/>
      <c r="H779" t="inlineStr">
        <is>
          <t>Website</t>
        </is>
      </c>
      <c r="I779" t="inlineStr">
        <is>
          <t>งานประจำวัน</t>
        </is>
      </c>
      <c r="J779" t="inlineStr">
        <is>
          <t>Done</t>
        </is>
      </c>
      <c r="K779"/>
      <c r="L779" s="3"/>
      <c r="M779" t="inlineStr">
        <is>
          <t>1</t>
        </is>
      </c>
      <c r="N779" t="inlineStr">
        <is>
          <t>Android</t>
        </is>
      </c>
      <c r="O779"/>
    </row>
    <row r="780" ht="12.75" customHeight="1">
      <c r="A780" t="inlineStr">
        <is>
          <t xml:space="preserve">OnePlus เปิดตัว Oxygen OS 16 </t>
        </is>
      </c>
      <c r="B780" t="inlineStr">
        <is>
          <t>Saktaphat Kordjan</t>
        </is>
      </c>
      <c r="C780" s="2">
        <v>45950</v>
      </c>
      <c r="D780" s="2">
        <v>45950</v>
      </c>
      <c r="E780"/>
      <c r="F780" s="3"/>
      <c r="G780"/>
      <c r="H780" t="inlineStr">
        <is>
          <t>Website, Shorts</t>
        </is>
      </c>
      <c r="I780" t="inlineStr">
        <is>
          <t>งานประจำวัน</t>
        </is>
      </c>
      <c r="J780" t="inlineStr">
        <is>
          <t>Done</t>
        </is>
      </c>
      <c r="K780"/>
      <c r="L780" s="3"/>
      <c r="M780" t="inlineStr">
        <is>
          <t>1</t>
        </is>
      </c>
      <c r="N780" t="inlineStr">
        <is>
          <t>Android</t>
        </is>
      </c>
      <c r="O780"/>
    </row>
    <row r="781" ht="12.75" customHeight="1">
      <c r="A781" t="inlineStr">
        <is>
          <t>คาดหวังอะไรจาก Galaxy S26 Series</t>
        </is>
      </c>
      <c r="B781" t="inlineStr">
        <is>
          <t>Saktaphat Kordjan</t>
        </is>
      </c>
      <c r="C781" s="2">
        <v>45950</v>
      </c>
      <c r="D781" s="2">
        <v>45950</v>
      </c>
      <c r="E781"/>
      <c r="F781" s="3"/>
      <c r="G781"/>
      <c r="H781" t="inlineStr">
        <is>
          <t>YouTube, Shorts</t>
        </is>
      </c>
      <c r="I781" t="inlineStr">
        <is>
          <t>เสนอไอเดีย</t>
        </is>
      </c>
      <c r="J781" t="inlineStr">
        <is>
          <t>Done</t>
        </is>
      </c>
      <c r="K781"/>
      <c r="L781" s="3"/>
      <c r="M781" t="inlineStr">
        <is>
          <t>1</t>
        </is>
      </c>
      <c r="N781" t="inlineStr">
        <is>
          <t>Android</t>
        </is>
      </c>
      <c r="O781"/>
    </row>
    <row r="782" ht="12.75" customHeight="1">
      <c r="A782" t="inlineStr">
        <is>
          <t>Redmi K90 Pro Max จะเปิดตัวในจีนวันที่ 23 ต.ค.</t>
        </is>
      </c>
      <c r="B782" t="inlineStr">
        <is>
          <t>Saktaphat Kordjan</t>
        </is>
      </c>
      <c r="C782" s="2">
        <v>45950</v>
      </c>
      <c r="D782" s="2">
        <v>45950</v>
      </c>
      <c r="E782"/>
      <c r="F782" s="3"/>
      <c r="G782"/>
      <c r="H782" t="inlineStr">
        <is>
          <t>Website</t>
        </is>
      </c>
      <c r="I782" t="inlineStr">
        <is>
          <t>งานประจำวัน</t>
        </is>
      </c>
      <c r="J782" t="inlineStr">
        <is>
          <t>Done</t>
        </is>
      </c>
      <c r="K782"/>
      <c r="L782" s="3"/>
      <c r="M782" t="inlineStr">
        <is>
          <t>1</t>
        </is>
      </c>
      <c r="N782" t="inlineStr">
        <is>
          <t>Android</t>
        </is>
      </c>
      <c r="O782"/>
    </row>
    <row r="783" ht="12.75" customHeight="1">
      <c r="A783" t="inlineStr">
        <is>
          <t>iPhone 17 Pro ได้อันดับ 1 สมาร์ตโฟนที่กล้องหน้าดีที่สุดในโลก</t>
        </is>
      </c>
      <c r="B783" t="inlineStr">
        <is>
          <t>Sasithakan Sritonthip</t>
        </is>
      </c>
      <c r="C783" s="2">
        <v>45950</v>
      </c>
      <c r="D783" s="2">
        <v>45950</v>
      </c>
      <c r="E783" t="inlineStr">
        <is>
          <t>ปกติ</t>
        </is>
      </c>
      <c r="F783" s="3" t="str">
        <f>=HYPERLINK("https://www.dxomark.com/apple-iphone-17-pro-selfie-test/?fbclid=IwY2xjawNiw7pleHRuA2FlbQIxMABicmlkETEzenpneFkzTGVUYUJPSFYwAR55_HwEFYoB9vmYXZ9ZR83DDSsbsGkjc6RRmwXycRaIfCymXzg2YCQ2FSLH0Q_aem_FcoVpqNcTtcTERuO1c5WUg", "https://www.dxomark.com/apple-iphone-17-pro-selfie-test/?fbclid=IwY2xjawNiw7pleHRuA2FlbQIxMABicmlkETEzenpneFkzTGVUYUJPSFYwAR55_HwEFYoB9vmYXZ9ZR83DDSsbsGkjc6RRmwXycRaIfCymXzg2YCQ2FSLH0Q_aem_FcoVpqNcTtcTERuO1c5WUg")</f>
        <v>https://www.dxomark.com/apple-iphone-17-pro-selfie-test/?fbclid=IwY2xjawNiw7pleHRuA2FlbQIxMABicmlkETEzenpneFkzTGVUYUJPSFYwAR55_HwEFYoB9vmYXZ9ZR83DDSsbsGkjc6RRmwXycRaIfCymXzg2YCQ2FSLH0Q_aem_FcoVpqNcTtcTERuO1c5WUg</v>
      </c>
      <c r="G783"/>
      <c r="H783" t="inlineStr">
        <is>
          <t>Website</t>
        </is>
      </c>
      <c r="I783" t="inlineStr">
        <is>
          <t>งานประจำวัน</t>
        </is>
      </c>
      <c r="J783" t="inlineStr">
        <is>
          <t>Done</t>
        </is>
      </c>
      <c r="K783"/>
      <c r="L783" s="3"/>
      <c r="M783" t="inlineStr">
        <is>
          <t>1</t>
        </is>
      </c>
      <c r="N783" t="inlineStr">
        <is>
          <t>Apple</t>
        </is>
      </c>
      <c r="O783"/>
    </row>
    <row r="784" ht="12.75" customHeight="1">
      <c r="A784" t="inlineStr">
        <is>
          <t>รีวิว Plaude AI</t>
        </is>
      </c>
      <c r="B784" t="inlineStr">
        <is>
          <t>Nattida Suriyodara,Krongkwun  Rithiwong</t>
        </is>
      </c>
      <c r="C784" s="2">
        <v>45950</v>
      </c>
      <c r="D784" s="2">
        <v>45970</v>
      </c>
      <c r="E784"/>
      <c r="F784" s="3"/>
      <c r="G784"/>
      <c r="H784" t="inlineStr">
        <is>
          <t>YouTube</t>
        </is>
      </c>
      <c r="I784" t="inlineStr">
        <is>
          <t>งานลูกค้า</t>
        </is>
      </c>
      <c r="J784" t="inlineStr">
        <is>
          <t>Done</t>
        </is>
      </c>
      <c r="K784"/>
      <c r="L784" s="3"/>
      <c r="M784" t="inlineStr">
        <is>
          <t>1</t>
        </is>
      </c>
      <c r="N784" t="inlineStr">
        <is>
          <t>AI</t>
        </is>
      </c>
      <c r="O784" t="inlineStr">
        <is>
          <t>Plaude AI</t>
        </is>
      </c>
    </row>
    <row r="785" ht="12.75" customHeight="1">
      <c r="A785" t="inlineStr">
        <is>
          <t>CaseClub x Thai Brand</t>
        </is>
      </c>
      <c r="B785" t="inlineStr">
        <is>
          <t>Thitirath Kinaret,Sasithakan Sritonthip</t>
        </is>
      </c>
      <c r="C785" s="2">
        <v>45950</v>
      </c>
      <c r="D785" s="2">
        <v>45951</v>
      </c>
      <c r="E785" t="inlineStr">
        <is>
          <t>ด่วน!</t>
        </is>
      </c>
      <c r="F785" s="3"/>
      <c r="G785"/>
      <c r="H785" t="inlineStr">
        <is>
          <t>Pic Posts / Album</t>
        </is>
      </c>
      <c r="I785" t="inlineStr">
        <is>
          <t>งานลูกค้า</t>
        </is>
      </c>
      <c r="J785" t="inlineStr">
        <is>
          <t>Done</t>
        </is>
      </c>
      <c r="K785"/>
      <c r="L785" s="3" t="str">
        <f>=HYPERLINK("https://www.facebook.com/share/p/1CcUuqEpKj/", "https://www.facebook.com/share/p/1CcUuqEpKj/")</f>
        <v>https://www.facebook.com/share/p/1CcUuqEpKj/</v>
      </c>
      <c r="M785" t="inlineStr">
        <is>
          <t>1</t>
        </is>
      </c>
      <c r="N785" t="inlineStr">
        <is>
          <t>Tech</t>
        </is>
      </c>
      <c r="O785" t="inlineStr">
        <is>
          <t>CaseClub</t>
        </is>
      </c>
    </row>
    <row r="786" ht="12.75" customHeight="1">
      <c r="A786" t="inlineStr">
        <is>
          <t>New iPhone? Start Here. (CaseClub)</t>
        </is>
      </c>
      <c r="B786" t="inlineStr">
        <is>
          <t>Thitirath Kinaret,Sasithakan Sritonthip</t>
        </is>
      </c>
      <c r="C786" s="2">
        <v>45950</v>
      </c>
      <c r="D786" s="2">
        <v>45950</v>
      </c>
      <c r="E786" t="inlineStr">
        <is>
          <t>ด่วน!</t>
        </is>
      </c>
      <c r="F786" s="3"/>
      <c r="G786"/>
      <c r="H786" t="inlineStr">
        <is>
          <t>Pic Posts / Album</t>
        </is>
      </c>
      <c r="I786" t="inlineStr">
        <is>
          <t>งานลูกค้า</t>
        </is>
      </c>
      <c r="J786" t="inlineStr">
        <is>
          <t>Done</t>
        </is>
      </c>
      <c r="K786"/>
      <c r="L786" s="3" t="str">
        <f>=HYPERLINK("https://www.facebook.com/share/p/17PA7tkYYd/", "https://www.facebook.com/share/p/17PA7tkYYd/")</f>
        <v>https://www.facebook.com/share/p/17PA7tkYYd/</v>
      </c>
      <c r="M786" t="inlineStr">
        <is>
          <t>1</t>
        </is>
      </c>
      <c r="N786" t="inlineStr">
        <is>
          <t>Tech</t>
        </is>
      </c>
      <c r="O786" t="inlineStr">
        <is>
          <t>CaseClub</t>
        </is>
      </c>
    </row>
    <row r="787" ht="12.75" customHeight="1">
      <c r="A787" t="inlineStr">
        <is>
          <t>ChatGPT 18+</t>
        </is>
      </c>
      <c r="B787" t="inlineStr">
        <is>
          <t>Nattida Suriyodara</t>
        </is>
      </c>
      <c r="C787" s="2">
        <v>45947</v>
      </c>
      <c r="D787" s="2">
        <v>45947</v>
      </c>
      <c r="E787"/>
      <c r="F787" s="3"/>
      <c r="G787"/>
      <c r="H787" t="inlineStr">
        <is>
          <t>Website</t>
        </is>
      </c>
      <c r="I787" t="inlineStr">
        <is>
          <t>งานประจำวัน</t>
        </is>
      </c>
      <c r="J787" t="inlineStr">
        <is>
          <t>Done</t>
        </is>
      </c>
      <c r="K787"/>
      <c r="L787" s="3"/>
      <c r="M787" t="inlineStr">
        <is>
          <t>1</t>
        </is>
      </c>
      <c r="N787" t="inlineStr">
        <is>
          <t>AI</t>
        </is>
      </c>
      <c r="O787"/>
    </row>
    <row r="788" ht="12.75" customHeight="1">
      <c r="A788" t="inlineStr">
        <is>
          <t>Apple แบรนด์ที่มีมูลค่าสูงสุดในโลก</t>
        </is>
      </c>
      <c r="B788" t="inlineStr">
        <is>
          <t>Krongkwun  Rithiwong</t>
        </is>
      </c>
      <c r="C788" s="2">
        <v>45947</v>
      </c>
      <c r="D788" s="2">
        <v>45947</v>
      </c>
      <c r="E788" t="inlineStr">
        <is>
          <t>ปกติ</t>
        </is>
      </c>
      <c r="F788" s="3"/>
      <c r="G788"/>
      <c r="H788" t="inlineStr">
        <is>
          <t>Shorts</t>
        </is>
      </c>
      <c r="I788" t="inlineStr">
        <is>
          <t>งานประจำวัน</t>
        </is>
      </c>
      <c r="J788" t="inlineStr">
        <is>
          <t>Done</t>
        </is>
      </c>
      <c r="K788"/>
      <c r="L788" s="3"/>
      <c r="M788" t="inlineStr">
        <is>
          <t>1</t>
        </is>
      </c>
      <c r="N788" t="inlineStr">
        <is>
          <t>Apple</t>
        </is>
      </c>
      <c r="O788"/>
    </row>
    <row r="789" ht="12.75" customHeight="1">
      <c r="A789" t="inlineStr">
        <is>
          <t>เปิดตัว iPad Pro M5</t>
        </is>
      </c>
      <c r="B789" t="inlineStr">
        <is>
          <t>Nattida Suriyodara</t>
        </is>
      </c>
      <c r="C789" s="2">
        <v>45946</v>
      </c>
      <c r="D789" s="2">
        <v>45946</v>
      </c>
      <c r="E789"/>
      <c r="F789" s="3"/>
      <c r="G789"/>
      <c r="H789" t="inlineStr">
        <is>
          <t>Shorts</t>
        </is>
      </c>
      <c r="I789" t="inlineStr">
        <is>
          <t>งานประจำวัน</t>
        </is>
      </c>
      <c r="J789" t="inlineStr">
        <is>
          <t>Done</t>
        </is>
      </c>
      <c r="K789"/>
      <c r="L789" s="3"/>
      <c r="M789" t="inlineStr">
        <is>
          <t>1</t>
        </is>
      </c>
      <c r="N789" t="inlineStr">
        <is>
          <t>Apple</t>
        </is>
      </c>
      <c r="O789"/>
    </row>
    <row r="790" ht="12.75" customHeight="1">
      <c r="A790" t="inlineStr">
        <is>
          <t>เปิดตัว Apple Vision Pro 2</t>
        </is>
      </c>
      <c r="B790" t="inlineStr">
        <is>
          <t>Krongkwun  Rithiwong,Sasithakan Sritonthip</t>
        </is>
      </c>
      <c r="C790" s="2">
        <v>45946</v>
      </c>
      <c r="D790" s="2">
        <v>45946</v>
      </c>
      <c r="E790" t="inlineStr">
        <is>
          <t>ปกติ</t>
        </is>
      </c>
      <c r="F790" s="3"/>
      <c r="G790"/>
      <c r="H790" t="inlineStr">
        <is>
          <t>Shorts</t>
        </is>
      </c>
      <c r="I790" t="inlineStr">
        <is>
          <t>งานประจำวัน</t>
        </is>
      </c>
      <c r="J790" t="inlineStr">
        <is>
          <t>Done</t>
        </is>
      </c>
      <c r="K790"/>
      <c r="L790" s="3"/>
      <c r="M790" t="inlineStr">
        <is>
          <t>1</t>
        </is>
      </c>
      <c r="N790" t="inlineStr">
        <is>
          <t>Apple</t>
        </is>
      </c>
      <c r="O790"/>
    </row>
    <row r="791" ht="12.75" customHeight="1">
      <c r="A791" t="inlineStr">
        <is>
          <t>iPhone  สีชมพู</t>
        </is>
      </c>
      <c r="B791" t="inlineStr">
        <is>
          <t>Krongkwun  Rithiwong</t>
        </is>
      </c>
      <c r="C791" s="2">
        <v>45946</v>
      </c>
      <c r="D791" s="2">
        <v>45946</v>
      </c>
      <c r="E791" t="inlineStr">
        <is>
          <t>ปกติ</t>
        </is>
      </c>
      <c r="F791" s="3"/>
      <c r="G791"/>
      <c r="H791" t="inlineStr">
        <is>
          <t>Shorts</t>
        </is>
      </c>
      <c r="I791" t="inlineStr">
        <is>
          <t>งานประจำวัน</t>
        </is>
      </c>
      <c r="J791" t="inlineStr">
        <is>
          <t>Done</t>
        </is>
      </c>
      <c r="K791"/>
      <c r="L791" s="3"/>
      <c r="M791" t="inlineStr">
        <is>
          <t>1</t>
        </is>
      </c>
      <c r="N791" t="inlineStr">
        <is>
          <t>Apple</t>
        </is>
      </c>
      <c r="O791"/>
    </row>
    <row r="792" ht="12.75" customHeight="1">
      <c r="A792" t="inlineStr">
        <is>
          <t>MacBook Pro M5</t>
        </is>
      </c>
      <c r="B792" t="inlineStr">
        <is>
          <t>Krongkwun  Rithiwong</t>
        </is>
      </c>
      <c r="C792" s="2">
        <v>45946</v>
      </c>
      <c r="D792" s="2">
        <v>45946</v>
      </c>
      <c r="E792" t="inlineStr">
        <is>
          <t>ปกติ</t>
        </is>
      </c>
      <c r="F792" s="3"/>
      <c r="G792"/>
      <c r="H792" t="inlineStr">
        <is>
          <t>Shorts</t>
        </is>
      </c>
      <c r="I792" t="inlineStr">
        <is>
          <t>งานประจำวัน</t>
        </is>
      </c>
      <c r="J792" t="inlineStr">
        <is>
          <t>Done</t>
        </is>
      </c>
      <c r="K792"/>
      <c r="L792" s="3"/>
      <c r="M792" t="inlineStr">
        <is>
          <t>1</t>
        </is>
      </c>
      <c r="N792" t="inlineStr">
        <is>
          <t>Apple</t>
        </is>
      </c>
      <c r="O792"/>
    </row>
    <row r="793" ht="12.75" customHeight="1">
      <c r="A793" t="inlineStr">
        <is>
          <t xml:space="preserve">AirPods Firmware Public Test </t>
        </is>
      </c>
      <c r="B793" t="inlineStr">
        <is>
          <t>Nattida Suriyodara</t>
        </is>
      </c>
      <c r="C793" s="2">
        <v>45945</v>
      </c>
      <c r="D793" s="2">
        <v>45945</v>
      </c>
      <c r="E793"/>
      <c r="F793" s="3"/>
      <c r="G793"/>
      <c r="H793" t="inlineStr">
        <is>
          <t>Website</t>
        </is>
      </c>
      <c r="I793" t="inlineStr">
        <is>
          <t>งานประจำวัน</t>
        </is>
      </c>
      <c r="J793" t="inlineStr">
        <is>
          <t>Done</t>
        </is>
      </c>
      <c r="K793"/>
      <c r="L793" s="3"/>
      <c r="M793" t="inlineStr">
        <is>
          <t>1</t>
        </is>
      </c>
      <c r="N793" t="inlineStr">
        <is>
          <t>Apple</t>
        </is>
      </c>
      <c r="O793"/>
    </row>
    <row r="794" ht="12.75" customHeight="1">
      <c r="A794" t="inlineStr">
        <is>
          <t>รวมสเปคที่คาดการณ์ไว้ของ AirPods Max 2</t>
        </is>
      </c>
      <c r="B794" t="inlineStr">
        <is>
          <t>Sasithakan Sritonthip</t>
        </is>
      </c>
      <c r="C794" s="2">
        <v>45945</v>
      </c>
      <c r="D794" s="2">
        <v>45945</v>
      </c>
      <c r="E794" t="inlineStr">
        <is>
          <t>ปกติ</t>
        </is>
      </c>
      <c r="F794" s="3" t="str">
        <f>=HYPERLINK("https://www.macrumors.com/2025/10/14/airpods-max-2-everything-we-know-2/", "https://www.macrumors.com/2025/10/14/airpods-max-2-everything-we-know-2/")</f>
        <v>https://www.macrumors.com/2025/10/14/airpods-max-2-everything-we-know-2/</v>
      </c>
      <c r="G794"/>
      <c r="H794" t="inlineStr">
        <is>
          <t>Website</t>
        </is>
      </c>
      <c r="I794" t="inlineStr">
        <is>
          <t>งานประจำวัน</t>
        </is>
      </c>
      <c r="J794" t="inlineStr">
        <is>
          <t>Done</t>
        </is>
      </c>
      <c r="K794"/>
      <c r="L794" s="3" t="str">
        <f>=HYPERLINK("https://www.iphonemod.net/airpods-max-2-everything-we-know-so-far.html", "https://www.iphonemod.net/airpods-max-2-everything-we-know-so-far.html")</f>
        <v>https://www.iphonemod.net/airpods-max-2-everything-we-know-so-far.html</v>
      </c>
      <c r="M794" t="inlineStr">
        <is>
          <t>1</t>
        </is>
      </c>
      <c r="N794" t="inlineStr">
        <is>
          <t>Apple</t>
        </is>
      </c>
      <c r="O794"/>
    </row>
    <row r="795" ht="12.75" customHeight="1">
      <c r="A795" t="inlineStr">
        <is>
          <t>Apple ประกาศโครงการพลังงานสะอาดแห่งใหม่ ในยุโรปและจีน</t>
        </is>
      </c>
      <c r="B795" t="inlineStr">
        <is>
          <t>Sasithakan Sritonthip</t>
        </is>
      </c>
      <c r="C795" s="2">
        <v>45945</v>
      </c>
      <c r="D795" s="2">
        <v>45945</v>
      </c>
      <c r="E795" t="inlineStr">
        <is>
          <t>ปกติ</t>
        </is>
      </c>
      <c r="F795" s="3" t="str">
        <f>=HYPERLINK("https://www.macrumors.com/2025/10/14/apple-expanding-clean-energy-projects-europe-china/", "https://www.macrumors.com/2025/10/14/apple-expanding-clean-energy-projects-europe-china/")</f>
        <v>https://www.macrumors.com/2025/10/14/apple-expanding-clean-energy-projects-europe-china/</v>
      </c>
      <c r="G795"/>
      <c r="H795" t="inlineStr">
        <is>
          <t>Website</t>
        </is>
      </c>
      <c r="I795" t="inlineStr">
        <is>
          <t>งานประจำวัน</t>
        </is>
      </c>
      <c r="J795" t="inlineStr">
        <is>
          <t>Done</t>
        </is>
      </c>
      <c r="K795"/>
      <c r="L795" s="3" t="str">
        <f>=HYPERLINK("https://www.iphonemod.net/apple-announces-new-clean-energy-initiatives-across-europe-and-china.html", "https://www.iphonemod.net/apple-announces-new-clean-energy-initiatives-across-europe-and-china.html")</f>
        <v>https://www.iphonemod.net/apple-announces-new-clean-energy-initiatives-across-europe-and-china.html</v>
      </c>
      <c r="M795" t="inlineStr">
        <is>
          <t>1</t>
        </is>
      </c>
      <c r="N795" t="inlineStr">
        <is>
          <t>Apple</t>
        </is>
      </c>
      <c r="O795"/>
    </row>
    <row r="796" ht="12.75" customHeight="1">
      <c r="A796" t="inlineStr">
        <is>
          <t>Apple Wallet เพิ่มกุญแจดิจิทัล iPhone สำหรับรถยนต์กลุ่ม GM</t>
        </is>
      </c>
      <c r="B796" t="inlineStr">
        <is>
          <t>Sasithakan Sritonthip</t>
        </is>
      </c>
      <c r="C796" s="2">
        <v>45945</v>
      </c>
      <c r="D796" s="2">
        <v>45945</v>
      </c>
      <c r="E796" t="inlineStr">
        <is>
          <t>ปกติ</t>
        </is>
      </c>
      <c r="F796" s="3" t="str">
        <f>=HYPERLINK("https://www.macrumors.com/2025/10/14/gm-cars-car-key-support/", "https://www.macrumors.com/2025/10/14/gm-cars-car-key-support/")</f>
        <v>https://www.macrumors.com/2025/10/14/gm-cars-car-key-support/</v>
      </c>
      <c r="G796"/>
      <c r="H796" t="inlineStr">
        <is>
          <t>Website</t>
        </is>
      </c>
      <c r="I796" t="inlineStr">
        <is>
          <t>งานประจำวัน</t>
        </is>
      </c>
      <c r="J796" t="inlineStr">
        <is>
          <t>Done</t>
        </is>
      </c>
      <c r="K796"/>
      <c r="L796" s="3" t="str">
        <f>=HYPERLINK("https://www.iphonemod.net/apple-wallet-car-key-support-for-gm-vehicles-spotted-in-new-backend-code.html", "https://www.iphonemod.net/apple-wallet-car-key-support-for-gm-vehicles-spotted-in-new-backend-code.html")</f>
        <v>https://www.iphonemod.net/apple-wallet-car-key-support-for-gm-vehicles-spotted-in-new-backend-code.html</v>
      </c>
      <c r="M796" t="inlineStr">
        <is>
          <t>1</t>
        </is>
      </c>
      <c r="N796" t="inlineStr">
        <is>
          <t>Apple</t>
        </is>
      </c>
      <c r="O796"/>
    </row>
    <row r="797" ht="12.75" customHeight="1">
      <c r="A797" t="inlineStr">
        <is>
          <t xml:space="preserve">รีวิว Galaxy S25 FE </t>
        </is>
      </c>
      <c r="B797" t="inlineStr">
        <is>
          <t>Saktaphat Kordjan</t>
        </is>
      </c>
      <c r="C797" s="2">
        <v>45945</v>
      </c>
      <c r="D797" s="2">
        <v>45945</v>
      </c>
      <c r="E797"/>
      <c r="F797" s="3"/>
      <c r="G797"/>
      <c r="H797" t="inlineStr">
        <is>
          <t>YouTube</t>
        </is>
      </c>
      <c r="I797" t="inlineStr">
        <is>
          <t>เสนอไอเดีย</t>
        </is>
      </c>
      <c r="J797" t="inlineStr">
        <is>
          <t>Done</t>
        </is>
      </c>
      <c r="K797"/>
      <c r="L797" s="3"/>
      <c r="M797" t="inlineStr">
        <is>
          <t>1</t>
        </is>
      </c>
      <c r="N797" t="inlineStr">
        <is>
          <t>Android</t>
        </is>
      </c>
      <c r="O797"/>
    </row>
    <row r="798" ht="12.75" customHeight="1">
      <c r="A798" t="inlineStr">
        <is>
          <t>SANDISK เปิดตัว Enterprise SSD SN861 NVMe SSD รุ่น PCIe Gen 5 พร้อมรองรับมาตรฐาน OCP Inspired</t>
        </is>
      </c>
      <c r="B798" t="inlineStr">
        <is>
          <t>Sasithakan Sritonthip</t>
        </is>
      </c>
      <c r="C798" s="2">
        <v>45945</v>
      </c>
      <c r="D798" s="2">
        <v>45945</v>
      </c>
      <c r="E798" t="inlineStr">
        <is>
          <t>ปกติ</t>
        </is>
      </c>
      <c r="F798" s="3"/>
      <c r="G798" t="inlineStr">
        <is>
          <t>101525 TH_OCP Inspired Approval for SN861_media alert_FINAL.docx</t>
        </is>
      </c>
      <c r="H798" t="inlineStr">
        <is>
          <t>Website</t>
        </is>
      </c>
      <c r="I798" t="inlineStr">
        <is>
          <t>งานลูกค้า</t>
        </is>
      </c>
      <c r="J798" t="inlineStr">
        <is>
          <t>Done</t>
        </is>
      </c>
      <c r="K798"/>
      <c r="L798" s="3" t="str">
        <f>=HYPERLINK("https://www.iphonemod.net/sandisk-enterprise-ssd-sn861-nvme-ssd-pcie-gen-5-ocp.html", "https://www.iphonemod.net/sandisk-enterprise-ssd-sn861-nvme-ssd-pcie-gen-5-ocp.html")</f>
        <v>https://www.iphonemod.net/sandisk-enterprise-ssd-sn861-nvme-ssd-pcie-gen-5-ocp.html</v>
      </c>
      <c r="M798" t="inlineStr">
        <is>
          <t>1</t>
        </is>
      </c>
      <c r="N798" t="inlineStr">
        <is>
          <t>Tech</t>
        </is>
      </c>
      <c r="O798"/>
    </row>
    <row r="799" ht="12.75" customHeight="1">
      <c r="A799" t="inlineStr">
        <is>
          <t>Unbox Apple Watch Series 11</t>
        </is>
      </c>
      <c r="B799" t="inlineStr">
        <is>
          <t>Nattida Suriyodara</t>
        </is>
      </c>
      <c r="C799" s="2">
        <v>45945</v>
      </c>
      <c r="D799" s="2">
        <v>45945</v>
      </c>
      <c r="E799"/>
      <c r="F799" s="3"/>
      <c r="G799"/>
      <c r="H799" t="inlineStr">
        <is>
          <t>Shorts</t>
        </is>
      </c>
      <c r="I799" t="inlineStr">
        <is>
          <t>งานประจำวัน</t>
        </is>
      </c>
      <c r="J799" t="inlineStr">
        <is>
          <t>Done</t>
        </is>
      </c>
      <c r="K799"/>
      <c r="L799" s="3"/>
      <c r="M799" t="inlineStr">
        <is>
          <t>1</t>
        </is>
      </c>
      <c r="N799" t="inlineStr">
        <is>
          <t>Apple</t>
        </is>
      </c>
      <c r="O799"/>
    </row>
    <row r="800" ht="12.75" customHeight="1">
      <c r="A800" t="inlineStr">
        <is>
          <t>ลือ! Apple Home Hub ที่จะเปิดตัวในปี 2026 อาจมีราคาอยู่ด้วย $350</t>
        </is>
      </c>
      <c r="B800" t="inlineStr">
        <is>
          <t>Sasithakan Sritonthip</t>
        </is>
      </c>
      <c r="C800" s="2">
        <v>45945</v>
      </c>
      <c r="D800" s="2">
        <v>45947</v>
      </c>
      <c r="E800" t="inlineStr">
        <is>
          <t>ปกติ</t>
        </is>
      </c>
      <c r="F800" s="3" t="str">
        <f>=HYPERLINK("https://www.macrumors.com/2025/10/14/apple-2026-home-hub-cost/", "https://www.macrumors.com/2025/10/14/apple-2026-home-hub-cost/")</f>
        <v>https://www.macrumors.com/2025/10/14/apple-2026-home-hub-cost/</v>
      </c>
      <c r="G800"/>
      <c r="H800" t="inlineStr">
        <is>
          <t>Website</t>
        </is>
      </c>
      <c r="I800" t="inlineStr">
        <is>
          <t>งานประจำวัน</t>
        </is>
      </c>
      <c r="J800" t="inlineStr">
        <is>
          <t>Done</t>
        </is>
      </c>
      <c r="K800"/>
      <c r="L800" s="3"/>
      <c r="M800" t="inlineStr">
        <is>
          <t>1</t>
        </is>
      </c>
      <c r="N800" t="inlineStr">
        <is>
          <t>Apple</t>
        </is>
      </c>
      <c r="O800"/>
    </row>
    <row r="801" ht="12.75" customHeight="1">
      <c r="A801" t="inlineStr">
        <is>
          <t>รีวิวโหมด AI - Google</t>
        </is>
      </c>
      <c r="B801" t="inlineStr">
        <is>
          <t>Nattida Suriyodara</t>
        </is>
      </c>
      <c r="C801" s="2">
        <v>45945</v>
      </c>
      <c r="D801" s="2">
        <v>45945</v>
      </c>
      <c r="E801"/>
      <c r="F801" s="3"/>
      <c r="G801"/>
      <c r="H801" t="inlineStr">
        <is>
          <t>YouTube</t>
        </is>
      </c>
      <c r="I801" t="inlineStr">
        <is>
          <t>งานประจำวัน</t>
        </is>
      </c>
      <c r="J801" t="inlineStr">
        <is>
          <t>Done</t>
        </is>
      </c>
      <c r="K801"/>
      <c r="L801" s="3"/>
      <c r="M801" t="inlineStr">
        <is>
          <t>1</t>
        </is>
      </c>
      <c r="N801" t="inlineStr">
        <is>
          <t>AI</t>
        </is>
      </c>
      <c r="O801"/>
    </row>
    <row r="802" ht="12.75" customHeight="1">
      <c r="A802" t="inlineStr">
        <is>
          <t>สรุปสเปค Apple Watch Series 11 แบบ เร็ว ๆ</t>
        </is>
      </c>
      <c r="B802" t="inlineStr">
        <is>
          <t>Nattida Suriyodara,Sasithakan Sritonthip</t>
        </is>
      </c>
      <c r="C802" s="2">
        <v>45945</v>
      </c>
      <c r="D802" s="2">
        <v>45946</v>
      </c>
      <c r="E802"/>
      <c r="F802" s="3"/>
      <c r="G802"/>
      <c r="H802" t="inlineStr">
        <is>
          <t>Shorts</t>
        </is>
      </c>
      <c r="I802" t="inlineStr">
        <is>
          <t>งานประจำวัน</t>
        </is>
      </c>
      <c r="J802" t="inlineStr">
        <is>
          <t>Done</t>
        </is>
      </c>
      <c r="K802"/>
      <c r="L802" s="3"/>
      <c r="M802" t="inlineStr">
        <is>
          <t>1</t>
        </is>
      </c>
      <c r="N802" t="inlineStr">
        <is>
          <t>Apple</t>
        </is>
      </c>
      <c r="O802"/>
    </row>
    <row r="803" ht="12.75" customHeight="1">
      <c r="A803" t="inlineStr">
        <is>
          <t>Spotify เพิ่มความสะดวกให้พ่อแม่ในการควบคุมเนื้อหาของบุตรหลาน</t>
        </is>
      </c>
      <c r="B803" t="inlineStr">
        <is>
          <t>Saktaphat Kordjan</t>
        </is>
      </c>
      <c r="C803" s="2">
        <v>45945</v>
      </c>
      <c r="D803" s="2">
        <v>45945</v>
      </c>
      <c r="E803"/>
      <c r="F803" s="3"/>
      <c r="G803"/>
      <c r="H803" t="inlineStr">
        <is>
          <t>Website</t>
        </is>
      </c>
      <c r="I803" t="inlineStr">
        <is>
          <t>งานประจำวัน</t>
        </is>
      </c>
      <c r="J803" t="inlineStr">
        <is>
          <t>Done</t>
        </is>
      </c>
      <c r="K803"/>
      <c r="L803" s="3"/>
      <c r="M803" t="inlineStr">
        <is>
          <t>1</t>
        </is>
      </c>
      <c r="N803" t="inlineStr">
        <is>
          <t>ทั่วไป</t>
        </is>
      </c>
      <c r="O803"/>
    </row>
    <row r="804" ht="12.75" customHeight="1">
      <c r="A804" t="inlineStr">
        <is>
          <t>Pixel 10 Pro Fold เกิดลุกไหม้ในระหว่างการทดสอบความแข็งแรง</t>
        </is>
      </c>
      <c r="B804" t="inlineStr">
        <is>
          <t>Saktaphat Kordjan,Krongkwun  Rithiwong</t>
        </is>
      </c>
      <c r="C804" s="2">
        <v>45945</v>
      </c>
      <c r="D804" s="2">
        <v>45945</v>
      </c>
      <c r="E804"/>
      <c r="F804" s="3"/>
      <c r="G804"/>
      <c r="H804" t="inlineStr">
        <is>
          <t>Website, Pic Posts / Album, Shorts</t>
        </is>
      </c>
      <c r="I804" t="inlineStr">
        <is>
          <t>เสนอไอเดีย</t>
        </is>
      </c>
      <c r="J804" t="inlineStr">
        <is>
          <t>Done</t>
        </is>
      </c>
      <c r="K804"/>
      <c r="L804" s="3"/>
      <c r="M804" t="inlineStr">
        <is>
          <t>1</t>
        </is>
      </c>
      <c r="N804" t="inlineStr">
        <is>
          <t>Android</t>
        </is>
      </c>
      <c r="O804"/>
    </row>
    <row r="805" ht="12.75" customHeight="1">
      <c r="A805" t="inlineStr">
        <is>
          <t xml:space="preserve">รายงานผลประกอบการไตรมาส 3 ของ Samsung </t>
        </is>
      </c>
      <c r="B805" t="inlineStr">
        <is>
          <t>Saktaphat Kordjan</t>
        </is>
      </c>
      <c r="C805" s="2">
        <v>45945</v>
      </c>
      <c r="D805" s="2">
        <v>45945</v>
      </c>
      <c r="E805"/>
      <c r="F805" s="3"/>
      <c r="G805"/>
      <c r="H805" t="inlineStr">
        <is>
          <t>Website</t>
        </is>
      </c>
      <c r="I805" t="inlineStr">
        <is>
          <t>งานประจำวัน</t>
        </is>
      </c>
      <c r="J805" t="inlineStr">
        <is>
          <t>Done</t>
        </is>
      </c>
      <c r="K805"/>
      <c r="L805" s="3"/>
      <c r="M805" t="inlineStr">
        <is>
          <t>1</t>
        </is>
      </c>
      <c r="N805" t="inlineStr">
        <is>
          <t>Android</t>
        </is>
      </c>
      <c r="O805"/>
    </row>
    <row r="806" ht="12.75" customHeight="1">
      <c r="A806" t="inlineStr">
        <is>
          <t>Macbook Pro ใหม่</t>
        </is>
      </c>
      <c r="B806" t="inlineStr">
        <is>
          <t>Krongkwun  Rithiwong</t>
        </is>
      </c>
      <c r="C806" s="2">
        <v>45945</v>
      </c>
      <c r="D806" s="2">
        <v>45945</v>
      </c>
      <c r="E806" t="inlineStr">
        <is>
          <t>ปกติ</t>
        </is>
      </c>
      <c r="F806" s="3"/>
      <c r="G806"/>
      <c r="H806" t="inlineStr">
        <is>
          <t>Shorts</t>
        </is>
      </c>
      <c r="I806" t="inlineStr">
        <is>
          <t>งานประจำวัน</t>
        </is>
      </c>
      <c r="J806" t="inlineStr">
        <is>
          <t>Done</t>
        </is>
      </c>
      <c r="K806"/>
      <c r="L806" s="3"/>
      <c r="M806" t="inlineStr">
        <is>
          <t>1</t>
        </is>
      </c>
      <c r="N806" t="inlineStr">
        <is>
          <t>Apple</t>
        </is>
      </c>
      <c r="O806"/>
    </row>
    <row r="807" ht="12.75" customHeight="1">
      <c r="A807" t="inlineStr">
        <is>
          <t>Pixel Fold ระเบิด</t>
        </is>
      </c>
      <c r="B807" t="inlineStr">
        <is>
          <t>Krongkwun  Rithiwong</t>
        </is>
      </c>
      <c r="C807" s="2">
        <v>45945</v>
      </c>
      <c r="D807" s="2">
        <v>45945</v>
      </c>
      <c r="E807" t="inlineStr">
        <is>
          <t>ปกติ</t>
        </is>
      </c>
      <c r="F807" s="3"/>
      <c r="G807"/>
      <c r="H807" t="inlineStr">
        <is>
          <t>Shorts</t>
        </is>
      </c>
      <c r="I807" t="inlineStr">
        <is>
          <t>งานประจำวัน</t>
        </is>
      </c>
      <c r="J807" t="inlineStr">
        <is>
          <t>Done</t>
        </is>
      </c>
      <c r="K807"/>
      <c r="L807" s="3"/>
      <c r="M807" t="inlineStr">
        <is>
          <t>1</t>
        </is>
      </c>
      <c r="N807" t="inlineStr">
        <is>
          <t>Android</t>
        </is>
      </c>
      <c r="O807"/>
    </row>
    <row r="808" ht="12.75" customHeight="1">
      <c r="A808" t="inlineStr">
        <is>
          <t>Apple อาจเปิดตัว MacBook Pro พร้อมชิป M5 ก่อนรุ่น M5 Pro และ M5 Ma</t>
        </is>
      </c>
      <c r="B808" t="inlineStr">
        <is>
          <t>Sasithakan Sritonthip</t>
        </is>
      </c>
      <c r="C808" s="2">
        <v>45944.434965277775</v>
      </c>
      <c r="D808" s="2">
        <v>45944.434965277775</v>
      </c>
      <c r="E808" t="inlineStr">
        <is>
          <t>ปกติ</t>
        </is>
      </c>
      <c r="F808" s="3" t="str">
        <f>=HYPERLINK("https://www.macrumors.com/2025/10/10/macbook-pro-with-m5-chip-reportedly-near/", "https://www.macrumors.com/2025/10/10/macbook-pro-with-m5-chip-reportedly-near/")</f>
        <v>https://www.macrumors.com/2025/10/10/macbook-pro-with-m5-chip-reportedly-near/</v>
      </c>
      <c r="G808"/>
      <c r="H808" t="inlineStr">
        <is>
          <t>Website</t>
        </is>
      </c>
      <c r="I808" t="inlineStr">
        <is>
          <t>งานประจำวัน</t>
        </is>
      </c>
      <c r="J808" t="inlineStr">
        <is>
          <t>Done</t>
        </is>
      </c>
      <c r="K808"/>
      <c r="L808" s="3" t="str">
        <f>=HYPERLINK("https://www.iphonemod.net/apple-launch-macbook-pro-with-m5-chip-before-m5-pro-and-m5-max.html", "https://www.iphonemod.net/apple-launch-macbook-pro-with-m5-chip-before-m5-pro-and-m5-max.html")</f>
        <v>https://www.iphonemod.net/apple-launch-macbook-pro-with-m5-chip-before-m5-pro-and-m5-max.html</v>
      </c>
      <c r="M808" t="inlineStr">
        <is>
          <t>1</t>
        </is>
      </c>
      <c r="N808" t="inlineStr">
        <is>
          <t>Apple</t>
        </is>
      </c>
      <c r="O808"/>
    </row>
    <row r="809" ht="12.75" customHeight="1">
      <c r="A809" t="inlineStr">
        <is>
          <t>ลือ! iPhone Fold (จอพับ) อาจมีราคาถูกกว่าที่คาดไว้</t>
        </is>
      </c>
      <c r="B809" t="inlineStr">
        <is>
          <t>Sasithakan Sritonthip</t>
        </is>
      </c>
      <c r="C809" s="2">
        <v>45944.394467592596</v>
      </c>
      <c r="D809" s="2">
        <v>45944.394467592596</v>
      </c>
      <c r="E809" t="inlineStr">
        <is>
          <t>ปกติ</t>
        </is>
      </c>
      <c r="F809" s="3" t="str">
        <f>=HYPERLINK("https://www.macrumors.com/2025/10/13/foldable-iphone-could-be-cheaper-than-expected/", "https://www.macrumors.com/2025/10/13/foldable-iphone-could-be-cheaper-than-expected/")</f>
        <v>https://www.macrumors.com/2025/10/13/foldable-iphone-could-be-cheaper-than-expected/</v>
      </c>
      <c r="G809"/>
      <c r="H809" t="inlineStr">
        <is>
          <t>Website</t>
        </is>
      </c>
      <c r="I809" t="inlineStr">
        <is>
          <t>งานประจำวัน</t>
        </is>
      </c>
      <c r="J809" t="inlineStr">
        <is>
          <t>Done</t>
        </is>
      </c>
      <c r="K809"/>
      <c r="L809" s="3" t="str">
        <f>=HYPERLINK("https://www.iphonemod.net/apples-foldable-iphone-could-be-cheaper-than-expected.html", "https://www.iphonemod.net/apples-foldable-iphone-could-be-cheaper-than-expected.html")</f>
        <v>https://www.iphonemod.net/apples-foldable-iphone-could-be-cheaper-than-expected.html</v>
      </c>
      <c r="M809" t="inlineStr">
        <is>
          <t>1</t>
        </is>
      </c>
      <c r="N809" t="inlineStr">
        <is>
          <t>Apple</t>
        </is>
      </c>
      <c r="O809"/>
    </row>
    <row r="810" ht="12.75" customHeight="1">
      <c r="A810" t="inlineStr">
        <is>
          <t>Apple's Smart Glasses เลนส์อาจมี 2 โหมด</t>
        </is>
      </c>
      <c r="B810" t="inlineStr">
        <is>
          <t>Nattida Suriyodara</t>
        </is>
      </c>
      <c r="C810" s="2">
        <v>45944</v>
      </c>
      <c r="D810" s="2">
        <v>45944</v>
      </c>
      <c r="E810"/>
      <c r="F810" s="3"/>
      <c r="G810"/>
      <c r="H810" t="inlineStr">
        <is>
          <t>Website</t>
        </is>
      </c>
      <c r="I810" t="inlineStr">
        <is>
          <t>งานประจำวัน</t>
        </is>
      </c>
      <c r="J810" t="inlineStr">
        <is>
          <t>Done</t>
        </is>
      </c>
      <c r="K810"/>
      <c r="L810" s="3"/>
      <c r="M810" t="inlineStr">
        <is>
          <t>1</t>
        </is>
      </c>
      <c r="N810" t="inlineStr">
        <is>
          <t>Apple</t>
        </is>
      </c>
      <c r="O810"/>
    </row>
    <row r="811" ht="12.75" customHeight="1">
      <c r="A811" t="inlineStr">
        <is>
          <t>หลุดข้อมูล Nothing (3a) Lite คาดเปิดตัวในสิ้นปีนี้</t>
        </is>
      </c>
      <c r="B811" t="inlineStr">
        <is>
          <t>Saktaphat Kordjan</t>
        </is>
      </c>
      <c r="C811" s="2">
        <v>45944</v>
      </c>
      <c r="D811" s="2">
        <v>45944</v>
      </c>
      <c r="E811"/>
      <c r="F811" s="3"/>
      <c r="G811"/>
      <c r="H811" t="inlineStr">
        <is>
          <t>Website</t>
        </is>
      </c>
      <c r="I811" t="inlineStr">
        <is>
          <t>งานประจำวัน</t>
        </is>
      </c>
      <c r="J811" t="inlineStr">
        <is>
          <t>Done</t>
        </is>
      </c>
      <c r="K811"/>
      <c r="L811" s="3"/>
      <c r="M811" t="inlineStr">
        <is>
          <t>1</t>
        </is>
      </c>
      <c r="N811" t="inlineStr">
        <is>
          <t>Android</t>
        </is>
      </c>
      <c r="O811"/>
    </row>
    <row r="812" ht="12.75" customHeight="1">
      <c r="A812" t="inlineStr">
        <is>
          <t xml:space="preserve">เปิดตัว vivo X300 Series </t>
        </is>
      </c>
      <c r="B812" t="inlineStr">
        <is>
          <t>Saktaphat Kordjan</t>
        </is>
      </c>
      <c r="C812" s="2">
        <v>45944</v>
      </c>
      <c r="D812" s="2">
        <v>45944</v>
      </c>
      <c r="E812"/>
      <c r="F812" s="3"/>
      <c r="G812"/>
      <c r="H812" t="inlineStr">
        <is>
          <t>Website, Pic Posts / Album, Shorts</t>
        </is>
      </c>
      <c r="I812" t="inlineStr">
        <is>
          <t>เสนอไอเดีย</t>
        </is>
      </c>
      <c r="J812" t="inlineStr">
        <is>
          <t>Done</t>
        </is>
      </c>
      <c r="K812"/>
      <c r="L812" s="3"/>
      <c r="M812" t="inlineStr">
        <is>
          <t>1</t>
        </is>
      </c>
      <c r="N812" t="inlineStr">
        <is>
          <t>Android</t>
        </is>
      </c>
      <c r="O812"/>
    </row>
    <row r="813" ht="12.75" customHeight="1">
      <c r="A813" t="inlineStr">
        <is>
          <t>โหมด AI บน Google รองรับภาษาไทยแล้ว</t>
        </is>
      </c>
      <c r="B813" t="inlineStr">
        <is>
          <t>Nattida Suriyodara,Sasithakan Sritonthip</t>
        </is>
      </c>
      <c r="C813" s="2">
        <v>45944</v>
      </c>
      <c r="D813" s="2">
        <v>45944</v>
      </c>
      <c r="E813"/>
      <c r="F813" s="3"/>
      <c r="G813"/>
      <c r="H813" t="inlineStr">
        <is>
          <t>Shorts</t>
        </is>
      </c>
      <c r="I813" t="inlineStr">
        <is>
          <t>งานประจำวัน</t>
        </is>
      </c>
      <c r="J813" t="inlineStr">
        <is>
          <t>Done</t>
        </is>
      </c>
      <c r="K813"/>
      <c r="L813" s="3"/>
      <c r="M813" t="inlineStr">
        <is>
          <t>1</t>
        </is>
      </c>
      <c r="N813" t="inlineStr">
        <is>
          <t>AI</t>
        </is>
      </c>
      <c r="O813"/>
    </row>
    <row r="814" ht="12.75" customHeight="1">
      <c r="A814" t="inlineStr">
        <is>
          <t>โหมด AI เข้าไทยแล้ว รองรับอุปกรณ์ไหนบ้าง</t>
        </is>
      </c>
      <c r="B814" t="inlineStr">
        <is>
          <t>Nattida Suriyodara</t>
        </is>
      </c>
      <c r="C814" s="2">
        <v>45944</v>
      </c>
      <c r="D814" s="2">
        <v>45944</v>
      </c>
      <c r="E814"/>
      <c r="F814" s="3"/>
      <c r="G814"/>
      <c r="H814" t="inlineStr">
        <is>
          <t>Website</t>
        </is>
      </c>
      <c r="I814" t="inlineStr">
        <is>
          <t>งานประจำวัน</t>
        </is>
      </c>
      <c r="J814" t="inlineStr">
        <is>
          <t>Done</t>
        </is>
      </c>
      <c r="K814"/>
      <c r="L814" s="3"/>
      <c r="M814" t="inlineStr">
        <is>
          <t>1</t>
        </is>
      </c>
      <c r="N814" t="inlineStr">
        <is>
          <t>AI</t>
        </is>
      </c>
      <c r="O814"/>
    </row>
    <row r="815" ht="12.75" customHeight="1">
      <c r="A815" t="inlineStr">
        <is>
          <t>Product Apple เปิดตัวในเดือนตุลาคม</t>
        </is>
      </c>
      <c r="B815" t="inlineStr">
        <is>
          <t>Krongkwun  Rithiwong</t>
        </is>
      </c>
      <c r="C815" s="2">
        <v>45944</v>
      </c>
      <c r="D815" s="2">
        <v>45944</v>
      </c>
      <c r="E815" t="inlineStr">
        <is>
          <t>ปกติ</t>
        </is>
      </c>
      <c r="F815" s="3"/>
      <c r="G815"/>
      <c r="H815" t="inlineStr">
        <is>
          <t>Shorts</t>
        </is>
      </c>
      <c r="I815" t="inlineStr">
        <is>
          <t>งานประจำวัน</t>
        </is>
      </c>
      <c r="J815" t="inlineStr">
        <is>
          <t>Done</t>
        </is>
      </c>
      <c r="K815"/>
      <c r="L815" s="3"/>
      <c r="M815" t="inlineStr">
        <is>
          <t>1</t>
        </is>
      </c>
      <c r="N815" t="inlineStr">
        <is>
          <t>Apple</t>
        </is>
      </c>
      <c r="O815"/>
    </row>
    <row r="816" ht="12.75" customHeight="1">
      <c r="A816" t="inlineStr">
        <is>
          <t>apple ถอด Clips ออกจาก App store</t>
        </is>
      </c>
      <c r="B816" t="inlineStr">
        <is>
          <t>Krongkwun  Rithiwong</t>
        </is>
      </c>
      <c r="C816" s="2">
        <v>45944</v>
      </c>
      <c r="D816" s="2">
        <v>45944</v>
      </c>
      <c r="E816" t="inlineStr">
        <is>
          <t>ปกติ</t>
        </is>
      </c>
      <c r="F816" s="3"/>
      <c r="G816"/>
      <c r="H816" t="inlineStr">
        <is>
          <t>Shorts</t>
        </is>
      </c>
      <c r="I816" t="inlineStr">
        <is>
          <t>งานประจำวัน</t>
        </is>
      </c>
      <c r="J816" t="inlineStr">
        <is>
          <t>Done</t>
        </is>
      </c>
      <c r="K816"/>
      <c r="L816" s="3"/>
      <c r="M816" t="inlineStr">
        <is>
          <t>1</t>
        </is>
      </c>
      <c r="N816" t="inlineStr">
        <is>
          <t>Apple</t>
        </is>
      </c>
      <c r="O816"/>
    </row>
    <row r="817" ht="12.75" customHeight="1">
      <c r="A817" t="inlineStr">
        <is>
          <t>(ตัดจากคลิปใหญ่) ทริก เซลฟี่แนวนอนต้องมองตรงไหน IP 17</t>
        </is>
      </c>
      <c r="B817" t="inlineStr">
        <is>
          <t>Nattida Suriyodara,Sasithakan Sritonthip</t>
        </is>
      </c>
      <c r="C817" s="2">
        <v>45940.64655092593</v>
      </c>
      <c r="D817" s="2">
        <v>45940.64655092593</v>
      </c>
      <c r="E817" t="inlineStr">
        <is>
          <t>ปกติ</t>
        </is>
      </c>
      <c r="F817" s="3" t="str">
        <f>=HYPERLINK("https://www.youtube.com/watch?v=oRzlL21wWWE", "https://www.youtube.com/watch?v=oRzlL21wWWE")</f>
        <v>https://www.youtube.com/watch?v=oRzlL21wWWE</v>
      </c>
      <c r="G817"/>
      <c r="H817" t="inlineStr">
        <is>
          <t>Shorts</t>
        </is>
      </c>
      <c r="I817" t="inlineStr">
        <is>
          <t>งานประจำวัน</t>
        </is>
      </c>
      <c r="J817" t="inlineStr">
        <is>
          <t>Done</t>
        </is>
      </c>
      <c r="K817"/>
      <c r="L817" s="3"/>
      <c r="M817" t="inlineStr">
        <is>
          <t>1</t>
        </is>
      </c>
      <c r="N817" t="inlineStr">
        <is>
          <t>Apple</t>
        </is>
      </c>
      <c r="O817"/>
    </row>
    <row r="818" ht="12.75" customHeight="1">
      <c r="A818" t="inlineStr">
        <is>
          <t>(ตัดจากคลิปใหญ่) Apple Intelligence ลบวัตถุ  รอยสิว</t>
        </is>
      </c>
      <c r="B818" t="inlineStr">
        <is>
          <t>Nattida Suriyodara,Sasithakan Sritonthip</t>
        </is>
      </c>
      <c r="C818" s="2">
        <v>45940.64655092593</v>
      </c>
      <c r="D818" s="2">
        <v>45940.64655092593</v>
      </c>
      <c r="E818" t="inlineStr">
        <is>
          <t>ปกติ</t>
        </is>
      </c>
      <c r="F818" s="3" t="str">
        <f>=HYPERLINK("https://www.youtube.com/watch?v=oRzlL21wWWE", "https://www.youtube.com/watch?v=oRzlL21wWWE")</f>
        <v>https://www.youtube.com/watch?v=oRzlL21wWWE</v>
      </c>
      <c r="G818"/>
      <c r="H818" t="inlineStr">
        <is>
          <t>Shorts</t>
        </is>
      </c>
      <c r="I818" t="inlineStr">
        <is>
          <t>งานประจำวัน</t>
        </is>
      </c>
      <c r="J818" t="inlineStr">
        <is>
          <t>Done</t>
        </is>
      </c>
      <c r="K818"/>
      <c r="L818" s="3"/>
      <c r="M818" t="inlineStr">
        <is>
          <t>1</t>
        </is>
      </c>
      <c r="N818" t="inlineStr">
        <is>
          <t>Apple</t>
        </is>
      </c>
      <c r="O818"/>
    </row>
    <row r="819" ht="12.75" customHeight="1">
      <c r="A819" t="inlineStr">
        <is>
          <t>(ตัดจากคลิปใหญ่) สอนใช้งาน Camera Control</t>
        </is>
      </c>
      <c r="B819" t="inlineStr">
        <is>
          <t>Nattida Suriyodara,Sasithakan Sritonthip</t>
        </is>
      </c>
      <c r="C819" s="2">
        <v>45940.64655092593</v>
      </c>
      <c r="D819" s="2">
        <v>45940.64655092593</v>
      </c>
      <c r="E819" t="inlineStr">
        <is>
          <t>ปกติ</t>
        </is>
      </c>
      <c r="F819" s="3" t="str">
        <f>=HYPERLINK("https://www.youtube.com/watch?v=oRzlL21wWWE", "https://www.youtube.com/watch?v=oRzlL21wWWE")</f>
        <v>https://www.youtube.com/watch?v=oRzlL21wWWE</v>
      </c>
      <c r="G819"/>
      <c r="H819" t="inlineStr">
        <is>
          <t>Shorts</t>
        </is>
      </c>
      <c r="I819" t="inlineStr">
        <is>
          <t>งานประจำวัน</t>
        </is>
      </c>
      <c r="J819" t="inlineStr">
        <is>
          <t>Done</t>
        </is>
      </c>
      <c r="K819"/>
      <c r="L819" s="3"/>
      <c r="M819" t="inlineStr">
        <is>
          <t>1</t>
        </is>
      </c>
      <c r="N819" t="inlineStr">
        <is>
          <t>Apple</t>
        </is>
      </c>
      <c r="O819"/>
    </row>
    <row r="820" ht="12.75" customHeight="1">
      <c r="A820" t="inlineStr">
        <is>
          <t>(ตัดจากคลิปใหญ่) เปิดใช้งาน + ตั้งค่า Camera Control</t>
        </is>
      </c>
      <c r="B820" t="inlineStr">
        <is>
          <t>Nattida Suriyodara,Sasithakan Sritonthip</t>
        </is>
      </c>
      <c r="C820" s="2">
        <v>45940.64655092593</v>
      </c>
      <c r="D820" s="2">
        <v>45940.64655092593</v>
      </c>
      <c r="E820" t="inlineStr">
        <is>
          <t>ปกติ</t>
        </is>
      </c>
      <c r="F820" s="3" t="str">
        <f>=HYPERLINK("https://www.youtube.com/watch?v=oRzlL21wWWE", "https://www.youtube.com/watch?v=oRzlL21wWWE")</f>
        <v>https://www.youtube.com/watch?v=oRzlL21wWWE</v>
      </c>
      <c r="G820"/>
      <c r="H820" t="inlineStr">
        <is>
          <t>Shorts</t>
        </is>
      </c>
      <c r="I820" t="inlineStr">
        <is>
          <t>งานประจำวัน</t>
        </is>
      </c>
      <c r="J820" t="inlineStr">
        <is>
          <t>Done</t>
        </is>
      </c>
      <c r="K820"/>
      <c r="L820" s="3"/>
      <c r="M820" t="inlineStr">
        <is>
          <t>1</t>
        </is>
      </c>
      <c r="N820" t="inlineStr">
        <is>
          <t>Apple</t>
        </is>
      </c>
      <c r="O820"/>
    </row>
    <row r="821" ht="12.75" customHeight="1">
      <c r="A821" t="inlineStr">
        <is>
          <t>Akko ผลิต MetaKey สไตล์ BlackBerry สำหรับ iPhone 17</t>
        </is>
      </c>
      <c r="B821" t="inlineStr">
        <is>
          <t>Sasithakan Sritonthip</t>
        </is>
      </c>
      <c r="C821" s="2">
        <v>45940.46097222222</v>
      </c>
      <c r="D821" s="2">
        <v>45940.46097222222</v>
      </c>
      <c r="E821" t="inlineStr">
        <is>
          <t>ปกติ</t>
        </is>
      </c>
      <c r="F821" s="3" t="str">
        <f>=HYPERLINK("https://www.macrumors.com/2025/10/09/iphone-blackberry-style-metakey-keyboard-case/", "https://www.macrumors.com/2025/10/09/iphone-blackberry-style-metakey-keyboard-case/และhttps://en.akkogear.com/product/akko-metakey-keyboard-case-for-iphone/")</f>
        <v>https://www.macrumors.com/2025/10/09/iphone-blackberry-style-metakey-keyboard-case/และhttps://en.akkogear.com/product/akko-metakey-keyboard-case-for-iphone/</v>
      </c>
      <c r="G821"/>
      <c r="H821" t="inlineStr">
        <is>
          <t>Website</t>
        </is>
      </c>
      <c r="I821" t="inlineStr">
        <is>
          <t>งานประจำวัน</t>
        </is>
      </c>
      <c r="J821" t="inlineStr">
        <is>
          <t>Done</t>
        </is>
      </c>
      <c r="K821"/>
      <c r="L821" s="3" t="str">
        <f>=HYPERLINK("https://www.iphonemod.net/adding-blackberry-style-keys-to-your-iphone-just-got-more-affordable.html", "https://www.iphonemod.net/adding-blackberry-style-keys-to-your-iphone-just-got-more-affordable.html")</f>
        <v>https://www.iphonemod.net/adding-blackberry-style-keys-to-your-iphone-just-got-more-affordable.html</v>
      </c>
      <c r="M821" t="inlineStr">
        <is>
          <t>1</t>
        </is>
      </c>
      <c r="N821" t="inlineStr">
        <is>
          <t>Tech, Apple</t>
        </is>
      </c>
      <c r="O821"/>
    </row>
    <row r="822" ht="12.75" customHeight="1">
      <c r="A822" t="inlineStr">
        <is>
          <t>ฟีเจอร์ใหม่ใน tvOS 26 ที่ต้องลอง</t>
        </is>
      </c>
      <c r="B822" t="inlineStr">
        <is>
          <t>Sasithakan Sritonthip</t>
        </is>
      </c>
      <c r="C822" s="2">
        <v>45940.389328703706</v>
      </c>
      <c r="D822" s="2">
        <v>45940.389328703706</v>
      </c>
      <c r="E822" t="inlineStr">
        <is>
          <t>ปกติ</t>
        </is>
      </c>
      <c r="F822" s="3" t="str">
        <f>=HYPERLINK("https://www.macrumors.com/2025/10/07/must-try-tvos-26-features/", "https://www.macrumors.com/2025/10/07/must-try-tvos-26-features/")</f>
        <v>https://www.macrumors.com/2025/10/07/must-try-tvos-26-features/</v>
      </c>
      <c r="G822"/>
      <c r="H822" t="inlineStr">
        <is>
          <t>Website</t>
        </is>
      </c>
      <c r="I822" t="inlineStr">
        <is>
          <t>งานประจำวัน</t>
        </is>
      </c>
      <c r="J822" t="inlineStr">
        <is>
          <t>Done</t>
        </is>
      </c>
      <c r="K822"/>
      <c r="L822" s="3" t="str">
        <f>=HYPERLINK("https://www.iphonemod.net/must-try-tvos-26-features.html", "https://www.iphonemod.net/must-try-tvos-26-features.html")</f>
        <v>https://www.iphonemod.net/must-try-tvos-26-features.html</v>
      </c>
      <c r="M822" t="inlineStr">
        <is>
          <t>1</t>
        </is>
      </c>
      <c r="N822" t="inlineStr">
        <is>
          <t>Apple</t>
        </is>
      </c>
      <c r="O822"/>
    </row>
    <row r="823" ht="12.75" customHeight="1">
      <c r="A823" t="inlineStr">
        <is>
          <t>เทียบรูปกล้องหน้า iPhone 16 vs 17</t>
        </is>
      </c>
      <c r="B823" t="inlineStr">
        <is>
          <t>Nattida Suriyodara</t>
        </is>
      </c>
      <c r="C823" s="2">
        <v>45940</v>
      </c>
      <c r="D823" s="2">
        <v>45940</v>
      </c>
      <c r="E823"/>
      <c r="F823" s="3"/>
      <c r="G823"/>
      <c r="H823" t="inlineStr">
        <is>
          <t>Pic Posts / Album</t>
        </is>
      </c>
      <c r="I823" t="inlineStr">
        <is>
          <t>งานประจำวัน</t>
        </is>
      </c>
      <c r="J823" t="inlineStr">
        <is>
          <t>Done</t>
        </is>
      </c>
      <c r="K823"/>
      <c r="L823" s="3"/>
      <c r="M823" t="inlineStr">
        <is>
          <t>1</t>
        </is>
      </c>
      <c r="N823" t="inlineStr">
        <is>
          <t>AI</t>
        </is>
      </c>
      <c r="O823"/>
    </row>
    <row r="824" ht="12.75" customHeight="1">
      <c r="A824" t="inlineStr">
        <is>
          <t xml:space="preserve">Maxguard AR </t>
        </is>
      </c>
      <c r="B824" t="inlineStr">
        <is>
          <t>Saktaphat Kordjan</t>
        </is>
      </c>
      <c r="C824" s="2">
        <v>45940</v>
      </c>
      <c r="D824" s="2">
        <v>45940</v>
      </c>
      <c r="E824"/>
      <c r="F824" s="3"/>
      <c r="G824"/>
      <c r="H824" t="inlineStr">
        <is>
          <t>Shorts</t>
        </is>
      </c>
      <c r="I824" t="inlineStr">
        <is>
          <t>เสนอไอเดีย</t>
        </is>
      </c>
      <c r="J824" t="inlineStr">
        <is>
          <t>Done</t>
        </is>
      </c>
      <c r="K824"/>
      <c r="L824" s="3"/>
      <c r="M824" t="inlineStr">
        <is>
          <t>1</t>
        </is>
      </c>
      <c r="N824" t="inlineStr">
        <is>
          <t>ลูกค้า</t>
        </is>
      </c>
      <c r="O824"/>
    </row>
    <row r="825" ht="12.75" customHeight="1">
      <c r="A825" t="inlineStr">
        <is>
          <t>เผยข้อมูลชุดใหม่เกี่ยวกับ VR Headset ของ Samsung</t>
        </is>
      </c>
      <c r="B825" t="inlineStr">
        <is>
          <t>Saktaphat Kordjan</t>
        </is>
      </c>
      <c r="C825" s="2">
        <v>45940</v>
      </c>
      <c r="D825" s="2">
        <v>45940</v>
      </c>
      <c r="E825"/>
      <c r="F825" s="3"/>
      <c r="G825"/>
      <c r="H825" t="inlineStr">
        <is>
          <t>Website</t>
        </is>
      </c>
      <c r="I825" t="inlineStr">
        <is>
          <t>งานประจำวัน</t>
        </is>
      </c>
      <c r="J825" t="inlineStr">
        <is>
          <t>Done</t>
        </is>
      </c>
      <c r="K825"/>
      <c r="L825" s="3"/>
      <c r="M825" t="inlineStr">
        <is>
          <t>1</t>
        </is>
      </c>
      <c r="N825" t="inlineStr">
        <is>
          <t>Tech, Android</t>
        </is>
      </c>
      <c r="O825"/>
    </row>
    <row r="826" ht="12.75" customHeight="1">
      <c r="A826" t="inlineStr">
        <is>
          <t>Galaxy S26 Ultra อาจมาพร้อมสีส้มคล้าย iPhone 17 Promax</t>
        </is>
      </c>
      <c r="B826" t="inlineStr">
        <is>
          <t>Saktaphat Kordjan</t>
        </is>
      </c>
      <c r="C826" s="2">
        <v>45940</v>
      </c>
      <c r="D826" s="2">
        <v>45940</v>
      </c>
      <c r="E826"/>
      <c r="F826" s="3"/>
      <c r="G826"/>
      <c r="H826" t="inlineStr">
        <is>
          <t>Website, Pic Posts / Album, Shorts</t>
        </is>
      </c>
      <c r="I826" t="inlineStr">
        <is>
          <t>เสนอไอเดีย</t>
        </is>
      </c>
      <c r="J826" t="inlineStr">
        <is>
          <t>Done</t>
        </is>
      </c>
      <c r="K826"/>
      <c r="L826" s="3"/>
      <c r="M826" t="inlineStr">
        <is>
          <t>1</t>
        </is>
      </c>
      <c r="N826" t="inlineStr">
        <is>
          <t>Android</t>
        </is>
      </c>
      <c r="O826"/>
    </row>
    <row r="827" ht="12.75" customHeight="1">
      <c r="A827" t="inlineStr">
        <is>
          <t>Apple เปลี่ยนผู้บริหาร</t>
        </is>
      </c>
      <c r="B827" t="inlineStr">
        <is>
          <t>Krongkwun  Rithiwong</t>
        </is>
      </c>
      <c r="C827" s="2">
        <v>45940</v>
      </c>
      <c r="D827" s="2">
        <v>45940</v>
      </c>
      <c r="E827" t="inlineStr">
        <is>
          <t>ปกติ</t>
        </is>
      </c>
      <c r="F827" s="3"/>
      <c r="G827"/>
      <c r="H827" t="inlineStr">
        <is>
          <t>Shorts</t>
        </is>
      </c>
      <c r="I827" t="inlineStr">
        <is>
          <t>งานประจำวัน</t>
        </is>
      </c>
      <c r="J827" t="inlineStr">
        <is>
          <t>Done</t>
        </is>
      </c>
      <c r="K827"/>
      <c r="L827" s="3"/>
      <c r="M827" t="inlineStr">
        <is>
          <t>1</t>
        </is>
      </c>
      <c r="N827" t="inlineStr">
        <is>
          <t>Apple</t>
        </is>
      </c>
      <c r="O827"/>
    </row>
    <row r="828" ht="12.75" customHeight="1">
      <c r="A828" t="inlineStr">
        <is>
          <t>Origin OS6</t>
        </is>
      </c>
      <c r="B828" t="inlineStr">
        <is>
          <t>Krongkwun  Rithiwong</t>
        </is>
      </c>
      <c r="C828" s="2">
        <v>45940</v>
      </c>
      <c r="D828" s="2">
        <v>45940</v>
      </c>
      <c r="E828" t="inlineStr">
        <is>
          <t>ปกติ</t>
        </is>
      </c>
      <c r="F828" s="3"/>
      <c r="G828"/>
      <c r="H828" t="inlineStr">
        <is>
          <t>Shorts</t>
        </is>
      </c>
      <c r="I828" t="inlineStr">
        <is>
          <t>งานประจำวัน</t>
        </is>
      </c>
      <c r="J828" t="inlineStr">
        <is>
          <t>Done</t>
        </is>
      </c>
      <c r="K828"/>
      <c r="L828" s="3"/>
      <c r="M828" t="inlineStr">
        <is>
          <t>1</t>
        </is>
      </c>
      <c r="N828" t="inlineStr">
        <is>
          <t>Android</t>
        </is>
      </c>
      <c r="O828"/>
    </row>
    <row r="829" ht="12.75" customHeight="1">
      <c r="A829" t="inlineStr">
        <is>
          <t>Chat GPTGo เข้าไทยแล้ว!</t>
        </is>
      </c>
      <c r="B829" t="inlineStr">
        <is>
          <t>Nattida Suriyodara,Sasithakan Sritonthip</t>
        </is>
      </c>
      <c r="C829" s="2">
        <v>45939.49265046296</v>
      </c>
      <c r="D829" s="2">
        <v>45939.49265046296</v>
      </c>
      <c r="E829" t="inlineStr">
        <is>
          <t>ด่วน!</t>
        </is>
      </c>
      <c r="F829" s="3"/>
      <c r="G829"/>
      <c r="H829" t="inlineStr">
        <is>
          <t>Shorts</t>
        </is>
      </c>
      <c r="I829" t="inlineStr">
        <is>
          <t>งานประจำวัน</t>
        </is>
      </c>
      <c r="J829" t="inlineStr">
        <is>
          <t>Done</t>
        </is>
      </c>
      <c r="K829"/>
      <c r="L829" s="3"/>
      <c r="M829" t="inlineStr">
        <is>
          <t>1</t>
        </is>
      </c>
      <c r="N829" t="inlineStr">
        <is>
          <t>AI</t>
        </is>
      </c>
      <c r="O829"/>
    </row>
    <row r="830" ht="12.75" customHeight="1">
      <c r="A830" t="inlineStr">
        <is>
          <t>AIS โปรโมชัน เก่าแลกใหม่ Trade in + Trade Up (Final)</t>
        </is>
      </c>
      <c r="B830" t="inlineStr">
        <is>
          <t>Thitirath Kinaret,Sasithakan Sritonthip</t>
        </is>
      </c>
      <c r="C830" s="2">
        <v>45939.471134259256</v>
      </c>
      <c r="D830" s="2">
        <v>45939.471134259256</v>
      </c>
      <c r="E830" t="inlineStr">
        <is>
          <t>ปกติ</t>
        </is>
      </c>
      <c r="F830" s="3"/>
      <c r="G830"/>
      <c r="H830" t="inlineStr">
        <is>
          <t>Pic Posts / Album, Creative</t>
        </is>
      </c>
      <c r="I830" t="inlineStr">
        <is>
          <t>งานลูกค้า</t>
        </is>
      </c>
      <c r="J830" t="inlineStr">
        <is>
          <t>Done</t>
        </is>
      </c>
      <c r="K830" t="inlineStr">
        <is>
          <t>ปล่อย 18.00 วันที่ 10/10/68</t>
        </is>
      </c>
      <c r="L830" s="3"/>
      <c r="M830" t="inlineStr">
        <is>
          <t>1</t>
        </is>
      </c>
      <c r="N830" t="inlineStr">
        <is>
          <t>Apple</t>
        </is>
      </c>
      <c r="O830"/>
    </row>
    <row r="831" ht="12.75" customHeight="1">
      <c r="A831" t="inlineStr">
        <is>
          <t>ศึก AI 2 ค่ายใหญ่ เปิดตัวชนกัน</t>
        </is>
      </c>
      <c r="B831" t="inlineStr">
        <is>
          <t>Nattida Suriyodara</t>
        </is>
      </c>
      <c r="C831" s="2">
        <v>45939</v>
      </c>
      <c r="D831" s="2">
        <v>45939</v>
      </c>
      <c r="E831"/>
      <c r="F831" s="3"/>
      <c r="G831"/>
      <c r="H831" t="inlineStr">
        <is>
          <t>YouTube</t>
        </is>
      </c>
      <c r="I831" t="inlineStr">
        <is>
          <t>งานประจำวัน</t>
        </is>
      </c>
      <c r="J831" t="inlineStr">
        <is>
          <t>Done</t>
        </is>
      </c>
      <c r="K831"/>
      <c r="L831" s="3"/>
      <c r="M831" t="inlineStr">
        <is>
          <t>1</t>
        </is>
      </c>
      <c r="N831" t="inlineStr">
        <is>
          <t>AI</t>
        </is>
      </c>
      <c r="O831"/>
    </row>
    <row r="832" ht="12.75" customHeight="1">
      <c r="A832" t="inlineStr">
        <is>
          <t>Apple เฉลิมฉลอง “Mindful Month” ด้วยกิจกรรมท้าทายประจำเดือน ต.ค. 2025</t>
        </is>
      </c>
      <c r="B832" t="inlineStr">
        <is>
          <t>Sasithakan Sritonthip</t>
        </is>
      </c>
      <c r="C832" s="2">
        <v>45938.405648148146</v>
      </c>
      <c r="D832" s="2">
        <v>45938.405648148146</v>
      </c>
      <c r="E832" t="inlineStr">
        <is>
          <t>ปกติ</t>
        </is>
      </c>
      <c r="F832" s="3" t="str">
        <f>=HYPERLINK("https://www.macrumors.com/2025/10/07/mindful-month-activity-challenge-2025/", "https://www.macrumors.com/2025/10/07/mindful-month-activity-challenge-2025/")</f>
        <v>https://www.macrumors.com/2025/10/07/mindful-month-activity-challenge-2025/</v>
      </c>
      <c r="G832"/>
      <c r="H832" t="inlineStr">
        <is>
          <t>Website</t>
        </is>
      </c>
      <c r="I832" t="inlineStr">
        <is>
          <t>งานประจำวัน</t>
        </is>
      </c>
      <c r="J832" t="inlineStr">
        <is>
          <t>Done</t>
        </is>
      </c>
      <c r="K832"/>
      <c r="L832" s="3" t="str">
        <f>=HYPERLINK("https://www.iphonemod.net/apple-celebrating-mindful-month-with-october-10-apple-watch-activity-challenge.html", "https://www.iphonemod.net/apple-celebrating-mindful-month-with-october-10-apple-watch-activity-challenge.html")</f>
        <v>https://www.iphonemod.net/apple-celebrating-mindful-month-with-october-10-apple-watch-activity-challenge.html</v>
      </c>
      <c r="M832" t="inlineStr">
        <is>
          <t>1</t>
        </is>
      </c>
      <c r="N832" t="inlineStr">
        <is>
          <t>Apple</t>
        </is>
      </c>
      <c r="O832"/>
    </row>
    <row r="833" ht="12.75" customHeight="1">
      <c r="A833" t="inlineStr">
        <is>
          <t>คนละครึ่ง</t>
        </is>
      </c>
      <c r="B833" t="inlineStr">
        <is>
          <t>Nattida Suriyodara</t>
        </is>
      </c>
      <c r="C833" s="2">
        <v>45938</v>
      </c>
      <c r="D833" s="2">
        <v>45938</v>
      </c>
      <c r="E833"/>
      <c r="F833" s="3"/>
      <c r="G833"/>
      <c r="H833" t="inlineStr">
        <is>
          <t>YouTube</t>
        </is>
      </c>
      <c r="I833" t="inlineStr">
        <is>
          <t>งานประจำวัน</t>
        </is>
      </c>
      <c r="J833" t="inlineStr">
        <is>
          <t>Done</t>
        </is>
      </c>
      <c r="K833"/>
      <c r="L833" s="3"/>
      <c r="M833" t="inlineStr">
        <is>
          <t>1</t>
        </is>
      </c>
      <c r="N833" t="inlineStr">
        <is>
          <t>Apple</t>
        </is>
      </c>
      <c r="O833"/>
    </row>
    <row r="834" ht="12.75" customHeight="1">
      <c r="A834" t="inlineStr">
        <is>
          <t>ข่าวลือ iPad Mini 8</t>
        </is>
      </c>
      <c r="B834" t="inlineStr">
        <is>
          <t>Nattida Suriyodara</t>
        </is>
      </c>
      <c r="C834" s="2">
        <v>45938</v>
      </c>
      <c r="D834" s="2">
        <v>45938</v>
      </c>
      <c r="E834"/>
      <c r="F834" s="3"/>
      <c r="G834"/>
      <c r="H834" t="inlineStr">
        <is>
          <t>Website</t>
        </is>
      </c>
      <c r="I834" t="inlineStr">
        <is>
          <t>งานประจำวัน</t>
        </is>
      </c>
      <c r="J834" t="inlineStr">
        <is>
          <t>Done</t>
        </is>
      </c>
      <c r="K834"/>
      <c r="L834" s="3"/>
      <c r="M834" t="inlineStr">
        <is>
          <t>1</t>
        </is>
      </c>
      <c r="N834" t="inlineStr">
        <is>
          <t>Apple</t>
        </is>
      </c>
      <c r="O834"/>
    </row>
    <row r="835" ht="12.75" customHeight="1">
      <c r="A835" t="inlineStr">
        <is>
          <t>Google AI Plus</t>
        </is>
      </c>
      <c r="B835" t="inlineStr">
        <is>
          <t>Nattida Suriyodara</t>
        </is>
      </c>
      <c r="C835" s="2">
        <v>45938</v>
      </c>
      <c r="D835" s="2">
        <v>45938</v>
      </c>
      <c r="E835"/>
      <c r="F835" s="3"/>
      <c r="G835"/>
      <c r="H835" t="inlineStr">
        <is>
          <t>Shorts</t>
        </is>
      </c>
      <c r="I835" t="inlineStr">
        <is>
          <t>งานประจำวัน</t>
        </is>
      </c>
      <c r="J835" t="inlineStr">
        <is>
          <t>Done</t>
        </is>
      </c>
      <c r="K835"/>
      <c r="L835" s="3"/>
      <c r="M835" t="inlineStr">
        <is>
          <t>1</t>
        </is>
      </c>
      <c r="N835" t="inlineStr">
        <is>
          <t>AI</t>
        </is>
      </c>
      <c r="O835"/>
    </row>
    <row r="836" ht="12.75" customHeight="1">
      <c r="A836" t="inlineStr">
        <is>
          <t>Samsung เปิดตัวเซ็นเซอร์ 200MP ISOCELL HP5</t>
        </is>
      </c>
      <c r="B836" t="inlineStr">
        <is>
          <t>Saktaphat Kordjan</t>
        </is>
      </c>
      <c r="C836" s="2">
        <v>45938</v>
      </c>
      <c r="D836" s="2">
        <v>45938</v>
      </c>
      <c r="E836"/>
      <c r="F836" s="3"/>
      <c r="G836"/>
      <c r="H836" t="inlineStr">
        <is>
          <t>Website</t>
        </is>
      </c>
      <c r="I836" t="inlineStr">
        <is>
          <t>งานประจำวัน</t>
        </is>
      </c>
      <c r="J836" t="inlineStr">
        <is>
          <t>Done</t>
        </is>
      </c>
      <c r="K836"/>
      <c r="L836" s="3"/>
      <c r="M836" t="inlineStr">
        <is>
          <t>1</t>
        </is>
      </c>
      <c r="N836" t="inlineStr">
        <is>
          <t>Tech</t>
        </is>
      </c>
      <c r="O836"/>
    </row>
    <row r="837" ht="12.75" customHeight="1">
      <c r="A837" t="inlineStr">
        <is>
          <t>UFS 5.0 จะมาพร้อมประสิทธิภาพที่ดีกว่าเดิมสองเท่า</t>
        </is>
      </c>
      <c r="B837" t="inlineStr">
        <is>
          <t>Saktaphat Kordjan</t>
        </is>
      </c>
      <c r="C837" s="2">
        <v>45938</v>
      </c>
      <c r="D837" s="2">
        <v>45938</v>
      </c>
      <c r="E837"/>
      <c r="F837" s="3"/>
      <c r="G837"/>
      <c r="H837" t="inlineStr">
        <is>
          <t>Website</t>
        </is>
      </c>
      <c r="I837" t="inlineStr">
        <is>
          <t>งานประจำวัน</t>
        </is>
      </c>
      <c r="J837" t="inlineStr">
        <is>
          <t>Done</t>
        </is>
      </c>
      <c r="K837"/>
      <c r="L837" s="3"/>
      <c r="M837" t="inlineStr">
        <is>
          <t>1</t>
        </is>
      </c>
      <c r="N837" t="inlineStr">
        <is>
          <t>Tech</t>
        </is>
      </c>
      <c r="O837"/>
    </row>
    <row r="838" ht="12.75" customHeight="1">
      <c r="A838" t="inlineStr">
        <is>
          <t>อัปเดตข่าวไอที</t>
        </is>
      </c>
      <c r="B838" t="inlineStr">
        <is>
          <t>Saktaphat Kordjan</t>
        </is>
      </c>
      <c r="C838" s="2">
        <v>45938</v>
      </c>
      <c r="D838" s="2">
        <v>45938</v>
      </c>
      <c r="E838"/>
      <c r="F838" s="3"/>
      <c r="G838"/>
      <c r="H838" t="inlineStr">
        <is>
          <t>YouTube</t>
        </is>
      </c>
      <c r="I838" t="inlineStr">
        <is>
          <t>เสนอไอเดีย</t>
        </is>
      </c>
      <c r="J838" t="inlineStr">
        <is>
          <t>Done</t>
        </is>
      </c>
      <c r="K838"/>
      <c r="L838" s="3"/>
      <c r="M838" t="inlineStr">
        <is>
          <t>1</t>
        </is>
      </c>
      <c r="N838" t="inlineStr">
        <is>
          <t>Tech, Android</t>
        </is>
      </c>
      <c r="O838"/>
    </row>
    <row r="839" ht="12.75" customHeight="1">
      <c r="A839" t="inlineStr">
        <is>
          <t>Facebook อัปเดต</t>
        </is>
      </c>
      <c r="B839" t="inlineStr">
        <is>
          <t>Krongkwun  Rithiwong</t>
        </is>
      </c>
      <c r="C839" s="2">
        <v>45938</v>
      </c>
      <c r="D839" s="2">
        <v>45938</v>
      </c>
      <c r="E839" t="inlineStr">
        <is>
          <t>ด่วน!</t>
        </is>
      </c>
      <c r="F839" s="3"/>
      <c r="G839"/>
      <c r="H839" t="inlineStr">
        <is>
          <t>Shorts</t>
        </is>
      </c>
      <c r="I839" t="inlineStr">
        <is>
          <t>งานประจำวัน</t>
        </is>
      </c>
      <c r="J839" t="inlineStr">
        <is>
          <t>Done</t>
        </is>
      </c>
      <c r="K839"/>
      <c r="L839" s="3"/>
      <c r="M839" t="inlineStr">
        <is>
          <t>1</t>
        </is>
      </c>
      <c r="N839" t="inlineStr">
        <is>
          <t>ทั่วไป</t>
        </is>
      </c>
      <c r="O839"/>
    </row>
    <row r="840" ht="12.75" customHeight="1">
      <c r="A840" t="inlineStr">
        <is>
          <t>Powershield x iMoD ✅</t>
        </is>
      </c>
      <c r="B840" t="inlineStr">
        <is>
          <t>Thitirath Kinaret,Sasithakan Sritonthip,Krongkwun  Rithiwong</t>
        </is>
      </c>
      <c r="C840" s="2">
        <v>45937.749930555554</v>
      </c>
      <c r="D840" s="2">
        <v>45937.749930555554</v>
      </c>
      <c r="E840" t="inlineStr">
        <is>
          <t>ด่วน!</t>
        </is>
      </c>
      <c r="F840" s="3"/>
      <c r="G840"/>
      <c r="H840" t="inlineStr">
        <is>
          <t>Shorts, Creative</t>
        </is>
      </c>
      <c r="I840" t="inlineStr">
        <is>
          <t>งานลูกค้า</t>
        </is>
      </c>
      <c r="J840" t="inlineStr">
        <is>
          <t>Done</t>
        </is>
      </c>
      <c r="K840"/>
      <c r="L840" s="3" t="str">
        <f>=HYPERLINK("https://www.facebook.com/share/r/1Ft6G9eq9k/", "https://www.facebook.com/share/r/1Ft6G9eq9k/")</f>
        <v>https://www.facebook.com/share/r/1Ft6G9eq9k/</v>
      </c>
      <c r="M840" t="inlineStr">
        <is>
          <t>1</t>
        </is>
      </c>
      <c r="N840" t="inlineStr">
        <is>
          <t>ลูกค้า</t>
        </is>
      </c>
      <c r="O840" t="inlineStr">
        <is>
          <t>PowerShield</t>
        </is>
      </c>
    </row>
    <row r="841" ht="12.75" customHeight="1">
      <c r="A841" t="inlineStr">
        <is>
          <t>ตั้งค่าถ่ายรูปกล้องหน้า iPhone</t>
        </is>
      </c>
      <c r="B841" t="inlineStr">
        <is>
          <t>Nattida Suriyodara</t>
        </is>
      </c>
      <c r="C841" s="2">
        <v>45937</v>
      </c>
      <c r="D841" s="2">
        <v>45937</v>
      </c>
      <c r="E841" t="inlineStr">
        <is>
          <t>ปกติ</t>
        </is>
      </c>
      <c r="F841" s="3"/>
      <c r="G841"/>
      <c r="H841" t="inlineStr">
        <is>
          <t>Shorts</t>
        </is>
      </c>
      <c r="I841" t="inlineStr">
        <is>
          <t>งานประจำวัน</t>
        </is>
      </c>
      <c r="J841" t="inlineStr">
        <is>
          <t>Done</t>
        </is>
      </c>
      <c r="K841"/>
      <c r="L841" s="3"/>
      <c r="M841" t="inlineStr">
        <is>
          <t>1</t>
        </is>
      </c>
      <c r="N841" t="inlineStr">
        <is>
          <t>Apple</t>
        </is>
      </c>
      <c r="O841"/>
    </row>
    <row r="842" ht="12.75" customHeight="1">
      <c r="A842" t="inlineStr">
        <is>
          <t>Slide Over บน iPad กลับมาแล้ว!</t>
        </is>
      </c>
      <c r="B842" t="inlineStr">
        <is>
          <t>Nattida Suriyodara</t>
        </is>
      </c>
      <c r="C842" s="2">
        <v>45937</v>
      </c>
      <c r="D842" s="2">
        <v>45937</v>
      </c>
      <c r="E842" t="inlineStr">
        <is>
          <t>ปกติ</t>
        </is>
      </c>
      <c r="F842" s="3"/>
      <c r="G842"/>
      <c r="H842" t="inlineStr">
        <is>
          <t>Website</t>
        </is>
      </c>
      <c r="I842" t="inlineStr">
        <is>
          <t>งานประจำวัน</t>
        </is>
      </c>
      <c r="J842" t="inlineStr">
        <is>
          <t>Done</t>
        </is>
      </c>
      <c r="K842"/>
      <c r="L842" s="3"/>
      <c r="M842" t="inlineStr">
        <is>
          <t>1</t>
        </is>
      </c>
      <c r="N842" t="inlineStr">
        <is>
          <t>Apple</t>
        </is>
      </c>
      <c r="O842"/>
    </row>
    <row r="843" ht="12.75" customHeight="1">
      <c r="A843" t="inlineStr">
        <is>
          <t xml:space="preserve">iPadOS 26.1 นำ Slide Over กลับมาอีกครั้ง! </t>
        </is>
      </c>
      <c r="B843" t="inlineStr">
        <is>
          <t>Nattida Suriyodara</t>
        </is>
      </c>
      <c r="C843" s="2">
        <v>45937</v>
      </c>
      <c r="D843" s="2">
        <v>45937</v>
      </c>
      <c r="E843" t="inlineStr">
        <is>
          <t>ปกติ</t>
        </is>
      </c>
      <c r="F843" s="3"/>
      <c r="G843"/>
      <c r="H843" t="inlineStr">
        <is>
          <t>Shorts</t>
        </is>
      </c>
      <c r="I843" t="inlineStr">
        <is>
          <t>งานประจำวัน</t>
        </is>
      </c>
      <c r="J843" t="inlineStr">
        <is>
          <t>Done</t>
        </is>
      </c>
      <c r="K843"/>
      <c r="L843" s="3"/>
      <c r="M843" t="inlineStr">
        <is>
          <t>1</t>
        </is>
      </c>
      <c r="N843" t="inlineStr">
        <is>
          <t>Apple</t>
        </is>
      </c>
      <c r="O843"/>
    </row>
    <row r="844" ht="12.75" customHeight="1">
      <c r="A844" t="inlineStr">
        <is>
          <t xml:space="preserve">ภาพถ่ายทุกระยะจากกล้อง iPhone Air </t>
        </is>
      </c>
      <c r="B844" t="inlineStr">
        <is>
          <t>Saktaphat Kordjan</t>
        </is>
      </c>
      <c r="C844" s="2">
        <v>45937</v>
      </c>
      <c r="D844" s="2">
        <v>45937</v>
      </c>
      <c r="E844"/>
      <c r="F844" s="3"/>
      <c r="G844"/>
      <c r="H844" t="inlineStr">
        <is>
          <t>Pic Posts / Album</t>
        </is>
      </c>
      <c r="I844" t="inlineStr">
        <is>
          <t>เสนอไอเดีย</t>
        </is>
      </c>
      <c r="J844" t="inlineStr">
        <is>
          <t>Done</t>
        </is>
      </c>
      <c r="K844"/>
      <c r="L844" s="3"/>
      <c r="M844" t="inlineStr">
        <is>
          <t>1</t>
        </is>
      </c>
      <c r="N844" t="inlineStr">
        <is>
          <t>Apple</t>
        </is>
      </c>
      <c r="O844"/>
    </row>
    <row r="845" ht="12.75" customHeight="1">
      <c r="A845" t="inlineStr">
        <is>
          <t>สมาร์ตโฟนรุ่นถัดไปอาจไม่มีสาย USB ในกล่องแล้ว</t>
        </is>
      </c>
      <c r="B845" t="inlineStr">
        <is>
          <t>Saktaphat Kordjan</t>
        </is>
      </c>
      <c r="C845" s="2">
        <v>45937</v>
      </c>
      <c r="D845" s="2">
        <v>45937</v>
      </c>
      <c r="E845"/>
      <c r="F845" s="3"/>
      <c r="G845"/>
      <c r="H845" t="inlineStr">
        <is>
          <t>Website, Shorts</t>
        </is>
      </c>
      <c r="I845" t="inlineStr">
        <is>
          <t>งานประจำวัน</t>
        </is>
      </c>
      <c r="J845" t="inlineStr">
        <is>
          <t>Done</t>
        </is>
      </c>
      <c r="K845"/>
      <c r="L845" s="3"/>
      <c r="M845" t="inlineStr">
        <is>
          <t>1</t>
        </is>
      </c>
      <c r="N845" t="inlineStr">
        <is>
          <t>Tech</t>
        </is>
      </c>
      <c r="O845"/>
    </row>
    <row r="846" ht="12.75" customHeight="1">
      <c r="A846" t="inlineStr">
        <is>
          <t>Google AI Pro</t>
        </is>
      </c>
      <c r="B846" t="inlineStr">
        <is>
          <t>Krongkwun  Rithiwong</t>
        </is>
      </c>
      <c r="C846" s="2">
        <v>45937</v>
      </c>
      <c r="D846" s="2">
        <v>45937</v>
      </c>
      <c r="E846" t="inlineStr">
        <is>
          <t>ปกติ</t>
        </is>
      </c>
      <c r="F846" s="3"/>
      <c r="G846"/>
      <c r="H846" t="inlineStr">
        <is>
          <t>Shorts</t>
        </is>
      </c>
      <c r="I846" t="inlineStr">
        <is>
          <t>งานประจำวัน</t>
        </is>
      </c>
      <c r="J846" t="inlineStr">
        <is>
          <t>Done</t>
        </is>
      </c>
      <c r="K846"/>
      <c r="L846" s="3"/>
      <c r="M846" t="inlineStr">
        <is>
          <t>1</t>
        </is>
      </c>
      <c r="N846" t="inlineStr">
        <is>
          <t>AI</t>
        </is>
      </c>
      <c r="O846"/>
    </row>
    <row r="847" ht="12.75" customHeight="1">
      <c r="A847" t="inlineStr">
        <is>
          <t>(ตัดจากคลิปใหญ่) ทำไม iPhone 17 Pro Max ถึงน่าซื้อ?</t>
        </is>
      </c>
      <c r="B847" t="inlineStr">
        <is>
          <t>Sasithakan Sritonthip</t>
        </is>
      </c>
      <c r="C847" s="2">
        <v>45936.39210648148</v>
      </c>
      <c r="D847" s="2"/>
      <c r="E847" t="inlineStr">
        <is>
          <t>ปกติ</t>
        </is>
      </c>
      <c r="F847" s="3" t="str">
        <f>=HYPERLINK("https://youtu.be/k7nMtal6HX8?si=j8tbCAyRmCRKKlQF", "https://youtu.be/k7nMtal6HX8?si=j8tbCAyRmCRKKlQF")</f>
        <v>https://youtu.be/k7nMtal6HX8?si=j8tbCAyRmCRKKlQF</v>
      </c>
      <c r="G847"/>
      <c r="H847" t="inlineStr">
        <is>
          <t>Shorts</t>
        </is>
      </c>
      <c r="I847" t="inlineStr">
        <is>
          <t>งานประจำวัน</t>
        </is>
      </c>
      <c r="J847" t="inlineStr">
        <is>
          <t>Done</t>
        </is>
      </c>
      <c r="K847"/>
      <c r="L847" s="3"/>
      <c r="M847" t="inlineStr">
        <is>
          <t>1</t>
        </is>
      </c>
      <c r="N847" t="inlineStr">
        <is>
          <t>Apple</t>
        </is>
      </c>
      <c r="O847"/>
    </row>
    <row r="848" ht="12.75" customHeight="1">
      <c r="A848" t="inlineStr">
        <is>
          <t>แอป Affinity สำหรับ iPad แจกฟรี ทั้ง Affinity Photo 2, Publisher 2 และ Designer 2</t>
        </is>
      </c>
      <c r="B848" t="inlineStr">
        <is>
          <t>Krongkwun  Rithiwong</t>
        </is>
      </c>
      <c r="C848" s="2">
        <v>45936</v>
      </c>
      <c r="D848" s="2"/>
      <c r="E848" t="inlineStr">
        <is>
          <t>ปกติ</t>
        </is>
      </c>
      <c r="F848" s="3"/>
      <c r="G848"/>
      <c r="H848" t="inlineStr">
        <is>
          <t>Shorts</t>
        </is>
      </c>
      <c r="I848" t="inlineStr">
        <is>
          <t>งานประจำวัน</t>
        </is>
      </c>
      <c r="J848" t="inlineStr">
        <is>
          <t>Done</t>
        </is>
      </c>
      <c r="K848"/>
      <c r="L848" s="3"/>
      <c r="M848" t="inlineStr">
        <is>
          <t>1</t>
        </is>
      </c>
      <c r="N848" t="inlineStr">
        <is>
          <t>ทั่วไป</t>
        </is>
      </c>
      <c r="O848"/>
    </row>
    <row r="849" ht="12.75" customHeight="1">
      <c r="A849" t="inlineStr">
        <is>
          <t>vivo X300 FE ผ่านการรับรอง เตรียมเปิดตัว</t>
        </is>
      </c>
      <c r="B849" t="inlineStr">
        <is>
          <t>Saktaphat Kordjan</t>
        </is>
      </c>
      <c r="C849" s="2">
        <v>45936</v>
      </c>
      <c r="D849" s="2"/>
      <c r="E849" t="inlineStr">
        <is>
          <t>ปกติ</t>
        </is>
      </c>
      <c r="F849" s="3"/>
      <c r="G849"/>
      <c r="H849" t="inlineStr">
        <is>
          <t>Website</t>
        </is>
      </c>
      <c r="I849" t="inlineStr">
        <is>
          <t>งานประจำวัน</t>
        </is>
      </c>
      <c r="J849" t="inlineStr">
        <is>
          <t>Done</t>
        </is>
      </c>
      <c r="K849"/>
      <c r="L849" s="3"/>
      <c r="M849" t="inlineStr">
        <is>
          <t>1</t>
        </is>
      </c>
      <c r="N849" t="inlineStr">
        <is>
          <t>Android</t>
        </is>
      </c>
      <c r="O849"/>
    </row>
    <row r="850" ht="12.75" customHeight="1">
      <c r="A850" t="inlineStr">
        <is>
          <t>Samsung เริ่มปล่อยทีเซอร์จอพับใหม่ระดับไฮเอนด์</t>
        </is>
      </c>
      <c r="B850" t="inlineStr">
        <is>
          <t>Saktaphat Kordjan</t>
        </is>
      </c>
      <c r="C850" s="2">
        <v>45936</v>
      </c>
      <c r="D850" s="2"/>
      <c r="E850" t="inlineStr">
        <is>
          <t>ปกติ</t>
        </is>
      </c>
      <c r="F850" s="3"/>
      <c r="G850"/>
      <c r="H850" t="inlineStr">
        <is>
          <t>Website</t>
        </is>
      </c>
      <c r="I850" t="inlineStr">
        <is>
          <t>งานประจำวัน</t>
        </is>
      </c>
      <c r="J850" t="inlineStr">
        <is>
          <t>Done</t>
        </is>
      </c>
      <c r="K850"/>
      <c r="L850" s="3"/>
      <c r="M850" t="inlineStr">
        <is>
          <t>1</t>
        </is>
      </c>
      <c r="N850" t="inlineStr">
        <is>
          <t>Android</t>
        </is>
      </c>
      <c r="O850"/>
    </row>
    <row r="851" ht="12.75" customHeight="1">
      <c r="A851" t="inlineStr">
        <is>
          <t>ทำไม AI สำหรับเขียนโค้ด ถึงก้าวหน้าเร็วกว่า AI ด้านอื่น ๆ</t>
        </is>
      </c>
      <c r="B851" t="inlineStr">
        <is>
          <t>Nattida Suriyodara</t>
        </is>
      </c>
      <c r="C851" s="2">
        <v>45936</v>
      </c>
      <c r="D851" s="2"/>
      <c r="E851" t="inlineStr">
        <is>
          <t>ปกติ</t>
        </is>
      </c>
      <c r="F851" s="3"/>
      <c r="G851"/>
      <c r="H851" t="inlineStr">
        <is>
          <t>Website</t>
        </is>
      </c>
      <c r="I851" t="inlineStr">
        <is>
          <t>งานประจำวัน</t>
        </is>
      </c>
      <c r="J851" t="inlineStr">
        <is>
          <t>Done</t>
        </is>
      </c>
      <c r="K851"/>
      <c r="L851" s="3"/>
      <c r="M851" t="inlineStr">
        <is>
          <t>1</t>
        </is>
      </c>
      <c r="N851" t="inlineStr">
        <is>
          <t>AI</t>
        </is>
      </c>
      <c r="O851"/>
    </row>
    <row r="852" ht="12.75" customHeight="1">
      <c r="A852" t="inlineStr">
        <is>
          <t xml:space="preserve">อุปกรณ์ AI ของ OpenAI และ Jony Ive อาจเปิดตัวล่าช้ากว่าที่คาด เพราะเจอปัญหาทางเทคนิค </t>
        </is>
      </c>
      <c r="B852" t="inlineStr">
        <is>
          <t>Nattida Suriyodara</t>
        </is>
      </c>
      <c r="C852" s="2">
        <v>45936</v>
      </c>
      <c r="D852" s="2"/>
      <c r="E852" t="inlineStr">
        <is>
          <t>ปกติ</t>
        </is>
      </c>
      <c r="F852" s="3"/>
      <c r="G852"/>
      <c r="H852" t="inlineStr">
        <is>
          <t>Website</t>
        </is>
      </c>
      <c r="I852" t="inlineStr">
        <is>
          <t>งานประจำวัน</t>
        </is>
      </c>
      <c r="J852" t="inlineStr">
        <is>
          <t>Done</t>
        </is>
      </c>
      <c r="K852"/>
      <c r="L852" s="3"/>
      <c r="M852" t="inlineStr">
        <is>
          <t>1</t>
        </is>
      </c>
      <c r="N852" t="inlineStr">
        <is>
          <t>AI</t>
        </is>
      </c>
      <c r="O852"/>
    </row>
    <row r="853" ht="12.75" customHeight="1">
      <c r="A853" t="inlineStr">
        <is>
          <t>ย้ายจาก iOS ไป Android ต้องปรับตัวอะไรบ้าง</t>
        </is>
      </c>
      <c r="B853" t="inlineStr">
        <is>
          <t>Saktaphat Kordjan</t>
        </is>
      </c>
      <c r="C853" s="2">
        <v>45936</v>
      </c>
      <c r="D853" s="2"/>
      <c r="E853"/>
      <c r="F853" s="3"/>
      <c r="G853"/>
      <c r="H853" t="inlineStr">
        <is>
          <t>YouTube</t>
        </is>
      </c>
      <c r="I853" t="inlineStr">
        <is>
          <t>เสนอไอเดีย</t>
        </is>
      </c>
      <c r="J853" t="inlineStr">
        <is>
          <t>Done</t>
        </is>
      </c>
      <c r="K853"/>
      <c r="L853" s="3"/>
      <c r="M853" t="inlineStr">
        <is>
          <t>1</t>
        </is>
      </c>
      <c r="N853" t="inlineStr">
        <is>
          <t>Android</t>
        </is>
      </c>
      <c r="O853"/>
    </row>
    <row r="854" ht="12.75" customHeight="1">
      <c r="A854" t="inlineStr">
        <is>
          <t>(ตัดจากคลิปใหญ่) iPhone 17 Pro Max - กล้องหน้า</t>
        </is>
      </c>
      <c r="B854" t="inlineStr">
        <is>
          <t>Sasithakan Sritonthip</t>
        </is>
      </c>
      <c r="C854" s="2">
        <v>45933.72565972222</v>
      </c>
      <c r="D854" s="2"/>
      <c r="E854" t="inlineStr">
        <is>
          <t>ปกติ</t>
        </is>
      </c>
      <c r="F854" s="3"/>
      <c r="G854"/>
      <c r="H854" t="inlineStr">
        <is>
          <t>Shorts</t>
        </is>
      </c>
      <c r="I854" t="inlineStr">
        <is>
          <t>งานประจำวัน</t>
        </is>
      </c>
      <c r="J854" t="inlineStr">
        <is>
          <t>Done</t>
        </is>
      </c>
      <c r="K854"/>
      <c r="L854" s="3"/>
      <c r="M854" t="inlineStr">
        <is>
          <t>1</t>
        </is>
      </c>
      <c r="N854" t="inlineStr">
        <is>
          <t>Apple</t>
        </is>
      </c>
      <c r="O854"/>
    </row>
    <row r="855" ht="12.75" customHeight="1">
      <c r="A855" t="inlineStr">
        <is>
          <t>(ตัดจากคลิปใหญ่) iPhone 17 Pro Max - กล้องหลัง</t>
        </is>
      </c>
      <c r="B855" t="inlineStr">
        <is>
          <t>Sasithakan Sritonthip</t>
        </is>
      </c>
      <c r="C855" s="2">
        <v>45933.72565972222</v>
      </c>
      <c r="D855" s="2"/>
      <c r="E855" t="inlineStr">
        <is>
          <t>ปกติ</t>
        </is>
      </c>
      <c r="F855" s="3"/>
      <c r="G855"/>
      <c r="H855" t="inlineStr">
        <is>
          <t>Shorts</t>
        </is>
      </c>
      <c r="I855" t="inlineStr">
        <is>
          <t>งานประจำวัน</t>
        </is>
      </c>
      <c r="J855" t="inlineStr">
        <is>
          <t>Done</t>
        </is>
      </c>
      <c r="K855"/>
      <c r="L855" s="3"/>
      <c r="M855" t="inlineStr">
        <is>
          <t>1</t>
        </is>
      </c>
      <c r="N855" t="inlineStr">
        <is>
          <t>Apple</t>
        </is>
      </c>
      <c r="O855"/>
    </row>
    <row r="856" ht="12.75" customHeight="1">
      <c r="A856" t="inlineStr">
        <is>
          <t>(ตัดจากคลิปใหญ่) iPhone 17 แต่ละรุ่นเหมาะกับใคร</t>
        </is>
      </c>
      <c r="B856" t="inlineStr">
        <is>
          <t>Sasithakan Sritonthip</t>
        </is>
      </c>
      <c r="C856" s="2">
        <v>45933.72053240741</v>
      </c>
      <c r="D856" s="2"/>
      <c r="E856" t="inlineStr">
        <is>
          <t>ปกติ</t>
        </is>
      </c>
      <c r="F856" s="3" t="str">
        <f>=HYPERLINK("https://www.youtube.com/watch?v=yamiRcORjTg&amp;t=4s", "https://www.youtube.com/watch?v=yamiRcORjTg&amp;t=4s")</f>
        <v>https://www.youtube.com/watch?v=yamiRcORjTg&amp;t=4s</v>
      </c>
      <c r="G856"/>
      <c r="H856" t="inlineStr">
        <is>
          <t>Shorts</t>
        </is>
      </c>
      <c r="I856" t="inlineStr">
        <is>
          <t>งานประจำวัน</t>
        </is>
      </c>
      <c r="J856" t="inlineStr">
        <is>
          <t>Done</t>
        </is>
      </c>
      <c r="K856"/>
      <c r="L856" s="3"/>
      <c r="M856" t="inlineStr">
        <is>
          <t>1</t>
        </is>
      </c>
      <c r="N856" t="inlineStr">
        <is>
          <t>Apple</t>
        </is>
      </c>
      <c r="O856"/>
    </row>
    <row r="857" ht="12.75" customHeight="1">
      <c r="A857" t="inlineStr">
        <is>
          <t>(ตัดจากคลิปใหญ่) ทดสอบความร้อน iPhone 17 Pro Max</t>
        </is>
      </c>
      <c r="B857" t="inlineStr">
        <is>
          <t>Sasithakan Sritonthip</t>
        </is>
      </c>
      <c r="C857" s="2">
        <v>45933.573912037034</v>
      </c>
      <c r="D857" s="2"/>
      <c r="E857" t="inlineStr">
        <is>
          <t>ปกติ</t>
        </is>
      </c>
      <c r="F857" s="3" t="str">
        <f>=HYPERLINK("https://www.youtube.com/watch?v=yamiRcORjTg&amp;t=4s", "https://youtu.be/y5pjZOwQLk8?si=paIo_ByRYmDw_3eI")</f>
        <v>https://youtu.be/y5pjZOwQLk8?si=paIo_ByRYmDw_3eI</v>
      </c>
      <c r="G857"/>
      <c r="H857" t="inlineStr">
        <is>
          <t>Shorts</t>
        </is>
      </c>
      <c r="I857" t="inlineStr">
        <is>
          <t>งานประจำวัน</t>
        </is>
      </c>
      <c r="J857" t="inlineStr">
        <is>
          <t>Done</t>
        </is>
      </c>
      <c r="K857"/>
      <c r="L857" s="3"/>
      <c r="M857" t="inlineStr">
        <is>
          <t>1</t>
        </is>
      </c>
      <c r="N857" t="inlineStr">
        <is>
          <t>Apple</t>
        </is>
      </c>
      <c r="O857"/>
    </row>
    <row r="858" ht="12.75" customHeight="1">
      <c r="A858" t="inlineStr">
        <is>
          <t>(ตัดจากคลิปใหญ่) สิ่งที่ทำให้ iPhone 17 แต่ละรุ่นน่าซื้อ</t>
        </is>
      </c>
      <c r="B858" t="inlineStr">
        <is>
          <t>Sasithakan Sritonthip</t>
        </is>
      </c>
      <c r="C858" s="2">
        <v>45933.42769675926</v>
      </c>
      <c r="D858" s="2"/>
      <c r="E858" t="inlineStr">
        <is>
          <t>ปกติ</t>
        </is>
      </c>
      <c r="F858" s="3" t="str">
        <f>=HYPERLINK("https://www.youtube.com/watch?v=yamiRcORjTg&amp;t=4s", "https://www.youtube.com/watch?v=yamiRcORjTg&amp;t=4s")</f>
        <v>https://www.youtube.com/watch?v=yamiRcORjTg&amp;t=4s</v>
      </c>
      <c r="G858"/>
      <c r="H858" t="inlineStr">
        <is>
          <t>Shorts</t>
        </is>
      </c>
      <c r="I858" t="inlineStr">
        <is>
          <t>งานประจำวัน</t>
        </is>
      </c>
      <c r="J858" t="inlineStr">
        <is>
          <t>Done</t>
        </is>
      </c>
      <c r="K858"/>
      <c r="L858" s="3"/>
      <c r="M858" t="inlineStr">
        <is>
          <t>1</t>
        </is>
      </c>
      <c r="N858" t="inlineStr">
        <is>
          <t>Apple</t>
        </is>
      </c>
      <c r="O858"/>
    </row>
    <row r="859" ht="12.75" customHeight="1">
      <c r="A859" t="inlineStr">
        <is>
          <t>iPhone 17 ใส่เคส iPhone 17 Pro ได้ไหม</t>
        </is>
      </c>
      <c r="B859" t="inlineStr">
        <is>
          <t>Nattida Suriyodara</t>
        </is>
      </c>
      <c r="C859" s="2">
        <v>45933</v>
      </c>
      <c r="D859" s="2"/>
      <c r="E859" t="inlineStr">
        <is>
          <t>ปกติ</t>
        </is>
      </c>
      <c r="F859" s="3"/>
      <c r="G859"/>
      <c r="H859" t="inlineStr">
        <is>
          <t>Pic Posts / Album</t>
        </is>
      </c>
      <c r="I859" t="inlineStr">
        <is>
          <t>งานประจำวัน</t>
        </is>
      </c>
      <c r="J859" t="inlineStr">
        <is>
          <t>Done</t>
        </is>
      </c>
      <c r="K859"/>
      <c r="L859" s="3"/>
      <c r="M859" t="inlineStr">
        <is>
          <t>1</t>
        </is>
      </c>
      <c r="N859" t="inlineStr">
        <is>
          <t>Apple</t>
        </is>
      </c>
      <c r="O859"/>
    </row>
    <row r="860" ht="12.75" customHeight="1">
      <c r="A860" t="inlineStr">
        <is>
          <t>Galaxy Book รุ่นใหม่ จะแก้ปัญหาทัชแพดได้แล้ว</t>
        </is>
      </c>
      <c r="B860" t="inlineStr">
        <is>
          <t>Saktaphat Kordjan</t>
        </is>
      </c>
      <c r="C860" s="2">
        <v>45933</v>
      </c>
      <c r="D860" s="2"/>
      <c r="E860" t="inlineStr">
        <is>
          <t>ปกติ</t>
        </is>
      </c>
      <c r="F860" s="3"/>
      <c r="G860"/>
      <c r="H860" t="inlineStr">
        <is>
          <t>Website</t>
        </is>
      </c>
      <c r="I860" t="inlineStr">
        <is>
          <t>งานประจำวัน</t>
        </is>
      </c>
      <c r="J860" t="inlineStr">
        <is>
          <t>Done</t>
        </is>
      </c>
      <c r="K860"/>
      <c r="L860" s="3"/>
      <c r="M860" t="inlineStr">
        <is>
          <t>1</t>
        </is>
      </c>
      <c r="N860" t="inlineStr">
        <is>
          <t>Android, Tech</t>
        </is>
      </c>
      <c r="O860"/>
    </row>
    <row r="861" ht="12.75" customHeight="1">
      <c r="A861" t="inlineStr">
        <is>
          <t>Samsung ร่วมมือกับ OpenAI เร่งความก้าวหน้าใน AI ทั่วโลก</t>
        </is>
      </c>
      <c r="B861" t="inlineStr">
        <is>
          <t>Saktaphat Kordjan</t>
        </is>
      </c>
      <c r="C861" s="2">
        <v>45933</v>
      </c>
      <c r="D861" s="2"/>
      <c r="E861" t="inlineStr">
        <is>
          <t>ปกติ</t>
        </is>
      </c>
      <c r="F861" s="3"/>
      <c r="G861"/>
      <c r="H861" t="inlineStr">
        <is>
          <t>Website</t>
        </is>
      </c>
      <c r="I861" t="inlineStr">
        <is>
          <t>งานประจำวัน</t>
        </is>
      </c>
      <c r="J861" t="inlineStr">
        <is>
          <t>Done</t>
        </is>
      </c>
      <c r="K861"/>
      <c r="L861" s="3"/>
      <c r="M861" t="inlineStr">
        <is>
          <t>1</t>
        </is>
      </c>
      <c r="N861" t="inlineStr">
        <is>
          <t>AI, Android</t>
        </is>
      </c>
      <c r="O861"/>
    </row>
    <row r="862" ht="12.75" customHeight="1">
      <c r="A862" t="inlineStr">
        <is>
          <t xml:space="preserve">ทำไม iPhone Air ชาร์จไม่เร็วเท่ารุ่นอื่น </t>
        </is>
      </c>
      <c r="B862" t="inlineStr">
        <is>
          <t>Saktaphat Kordjan</t>
        </is>
      </c>
      <c r="C862" s="2">
        <v>45933</v>
      </c>
      <c r="D862" s="2"/>
      <c r="E862" t="inlineStr">
        <is>
          <t>ปกติ</t>
        </is>
      </c>
      <c r="F862" s="3"/>
      <c r="G862"/>
      <c r="H862" t="inlineStr">
        <is>
          <t>Shorts, Pic Posts / Album</t>
        </is>
      </c>
      <c r="I862" t="inlineStr">
        <is>
          <t>เสนอไอเดีย</t>
        </is>
      </c>
      <c r="J862" t="inlineStr">
        <is>
          <t>Done</t>
        </is>
      </c>
      <c r="K862"/>
      <c r="L862" s="3"/>
      <c r="M862" t="inlineStr">
        <is>
          <t>1</t>
        </is>
      </c>
      <c r="N862" t="inlineStr">
        <is>
          <t>Apple</t>
        </is>
      </c>
      <c r="O862"/>
    </row>
    <row r="863" ht="12.75" customHeight="1">
      <c r="A863" t="inlineStr">
        <is>
          <t>รีวิว Xiaomi TV A Pro 75 2026</t>
        </is>
      </c>
      <c r="B863" t="inlineStr">
        <is>
          <t>Saktaphat Kordjan</t>
        </is>
      </c>
      <c r="C863" s="2">
        <v>45933</v>
      </c>
      <c r="D863" s="2"/>
      <c r="E863" t="inlineStr">
        <is>
          <t>ปกติ</t>
        </is>
      </c>
      <c r="F863" s="3"/>
      <c r="G863"/>
      <c r="H863" t="inlineStr">
        <is>
          <t>YouTube</t>
        </is>
      </c>
      <c r="I863" t="inlineStr">
        <is>
          <t>งานลูกค้า</t>
        </is>
      </c>
      <c r="J863" t="inlineStr">
        <is>
          <t>Done</t>
        </is>
      </c>
      <c r="K863"/>
      <c r="L863" s="3"/>
      <c r="M863" t="inlineStr">
        <is>
          <t>1</t>
        </is>
      </c>
      <c r="N863" t="inlineStr">
        <is>
          <t>Tech, ลูกค้า</t>
        </is>
      </c>
      <c r="O863" t="inlineStr">
        <is>
          <t>Xiaomi</t>
        </is>
      </c>
    </row>
    <row r="864" ht="12.75" customHeight="1">
      <c r="A864" t="inlineStr">
        <is>
          <t>iPad Pro M5 แกะกล่องก่อนเปิดตัว</t>
        </is>
      </c>
      <c r="B864" t="inlineStr">
        <is>
          <t>Thitirath Kinaret,Sasithakan Sritonthip</t>
        </is>
      </c>
      <c r="C864" s="2">
        <v>45932.44131944444</v>
      </c>
      <c r="D864" s="2"/>
      <c r="E864" t="inlineStr">
        <is>
          <t>ปกติ</t>
        </is>
      </c>
      <c r="F864" s="3" t="str">
        <f>=HYPERLINK("https://www.iphonemod.net/new-ipad-pro-with-m5-chip-leaked-in-unboxing-video.html", "https://www.iphonemod.net/new-ipad-pro-with-m5-chip-leaked-in-unboxing-video.html")</f>
        <v>https://www.iphonemod.net/new-ipad-pro-with-m5-chip-leaked-in-unboxing-video.html</v>
      </c>
      <c r="G864"/>
      <c r="H864" t="inlineStr">
        <is>
          <t>Shorts</t>
        </is>
      </c>
      <c r="I864" t="inlineStr">
        <is>
          <t>งานประจำวัน</t>
        </is>
      </c>
      <c r="J864" t="inlineStr">
        <is>
          <t>Done</t>
        </is>
      </c>
      <c r="K864"/>
      <c r="L864" s="3"/>
      <c r="M864" t="inlineStr">
        <is>
          <t>1</t>
        </is>
      </c>
      <c r="N864" t="inlineStr">
        <is>
          <t>Apple</t>
        </is>
      </c>
      <c r="O864"/>
    </row>
    <row r="865" ht="12.75" customHeight="1">
      <c r="A865" t="inlineStr">
        <is>
          <t>(ตัดจากคลิปใหญ่) Vapor Chamber - iPhone 17 Pro</t>
        </is>
      </c>
      <c r="B865" t="inlineStr">
        <is>
          <t>Thitirath Kinaret,Sasithakan Sritonthip</t>
        </is>
      </c>
      <c r="C865" s="2">
        <v>45932.44099537037</v>
      </c>
      <c r="D865" s="2"/>
      <c r="E865" t="inlineStr">
        <is>
          <t>ปกติ</t>
        </is>
      </c>
      <c r="F865" s="3"/>
      <c r="G865"/>
      <c r="H865" t="inlineStr">
        <is>
          <t>Shorts</t>
        </is>
      </c>
      <c r="I865" t="inlineStr">
        <is>
          <t>งานประจำวัน</t>
        </is>
      </c>
      <c r="J865" t="inlineStr">
        <is>
          <t>Done</t>
        </is>
      </c>
      <c r="K865"/>
      <c r="L865" s="3"/>
      <c r="M865" t="inlineStr">
        <is>
          <t>1</t>
        </is>
      </c>
      <c r="N865" t="inlineStr">
        <is>
          <t>Apple</t>
        </is>
      </c>
      <c r="O865"/>
    </row>
    <row r="866" ht="12.75" customHeight="1">
      <c r="A866" t="inlineStr">
        <is>
          <t xml:space="preserve">เปิดตัว Sora 2 </t>
        </is>
      </c>
      <c r="B866" t="inlineStr">
        <is>
          <t>Nattida Suriyodara</t>
        </is>
      </c>
      <c r="C866" s="2">
        <v>45932</v>
      </c>
      <c r="D866" s="2"/>
      <c r="E866" t="inlineStr">
        <is>
          <t>ปกติ</t>
        </is>
      </c>
      <c r="F866" s="3"/>
      <c r="G866"/>
      <c r="H866" t="inlineStr">
        <is>
          <t>Website</t>
        </is>
      </c>
      <c r="I866" t="inlineStr">
        <is>
          <t>งานประจำวัน</t>
        </is>
      </c>
      <c r="J866" t="inlineStr">
        <is>
          <t>Done</t>
        </is>
      </c>
      <c r="K866"/>
      <c r="L866" s="3"/>
      <c r="M866" t="inlineStr">
        <is>
          <t>1</t>
        </is>
      </c>
      <c r="N866" t="inlineStr">
        <is>
          <t>AI</t>
        </is>
      </c>
      <c r="O866"/>
    </row>
    <row r="867" ht="12.75" customHeight="1">
      <c r="A867" t="inlineStr">
        <is>
          <t xml:space="preserve">รีวิว Xiaomi 15T Series </t>
        </is>
      </c>
      <c r="B867" t="inlineStr">
        <is>
          <t>Saktaphat Kordjan</t>
        </is>
      </c>
      <c r="C867" s="2">
        <v>45932</v>
      </c>
      <c r="D867" s="2"/>
      <c r="E867" t="inlineStr">
        <is>
          <t>ปกติ</t>
        </is>
      </c>
      <c r="F867" s="3"/>
      <c r="G867"/>
      <c r="H867" t="inlineStr">
        <is>
          <t>Pic Posts / Album, Shorts, YouTube</t>
        </is>
      </c>
      <c r="I867" t="inlineStr">
        <is>
          <t>งานลูกค้า</t>
        </is>
      </c>
      <c r="J867" t="inlineStr">
        <is>
          <t>Done</t>
        </is>
      </c>
      <c r="K867"/>
      <c r="L867" s="3"/>
      <c r="M867" t="inlineStr">
        <is>
          <t>1</t>
        </is>
      </c>
      <c r="N867" t="inlineStr">
        <is>
          <t>Android</t>
        </is>
      </c>
      <c r="O867" t="inlineStr">
        <is>
          <t>Xiaomi</t>
        </is>
      </c>
    </row>
    <row r="868" ht="12.75" customHeight="1">
      <c r="A868" t="inlineStr">
        <is>
          <t xml:space="preserve">Meta AI เตรียมนำข้อมูลแชทผู้ใช้ไปปรับปรุง Ads </t>
        </is>
      </c>
      <c r="B868" t="inlineStr">
        <is>
          <t>Nattida Suriyodara</t>
        </is>
      </c>
      <c r="C868" s="2">
        <v>45932</v>
      </c>
      <c r="D868" s="2"/>
      <c r="E868" t="inlineStr">
        <is>
          <t>ปกติ</t>
        </is>
      </c>
      <c r="F868" s="3"/>
      <c r="G868"/>
      <c r="H868" t="inlineStr">
        <is>
          <t>Website, Pic Posts / Album</t>
        </is>
      </c>
      <c r="I868" t="inlineStr">
        <is>
          <t>งานประจำวัน</t>
        </is>
      </c>
      <c r="J868" t="inlineStr">
        <is>
          <t>Done</t>
        </is>
      </c>
      <c r="K868"/>
      <c r="L868" s="3"/>
      <c r="M868" t="inlineStr">
        <is>
          <t>1</t>
        </is>
      </c>
      <c r="N868" t="inlineStr">
        <is>
          <t>AI</t>
        </is>
      </c>
      <c r="O868"/>
    </row>
    <row r="869" ht="12.75" customHeight="1">
      <c r="A869" t="inlineStr">
        <is>
          <t>Samsung อาจเปิดตัว Galaxy S26+ เนื่องจาก S25 Edge ขายไม่ดีเท่าที่ควร</t>
        </is>
      </c>
      <c r="B869" t="inlineStr">
        <is>
          <t>Saktaphat Kordjan</t>
        </is>
      </c>
      <c r="C869" s="2">
        <v>45932</v>
      </c>
      <c r="D869" s="2"/>
      <c r="E869" t="inlineStr">
        <is>
          <t>ปกติ</t>
        </is>
      </c>
      <c r="F869" s="3"/>
      <c r="G869"/>
      <c r="H869" t="inlineStr">
        <is>
          <t>Website</t>
        </is>
      </c>
      <c r="I869" t="inlineStr">
        <is>
          <t>งานประจำวัน</t>
        </is>
      </c>
      <c r="J869" t="inlineStr">
        <is>
          <t>Done</t>
        </is>
      </c>
      <c r="K869"/>
      <c r="L869" s="3"/>
      <c r="M869" t="inlineStr">
        <is>
          <t>1</t>
        </is>
      </c>
      <c r="N869" t="inlineStr">
        <is>
          <t>Android</t>
        </is>
      </c>
      <c r="O869"/>
    </row>
    <row r="870" ht="12.75" customHeight="1">
      <c r="A870" t="inlineStr">
        <is>
          <t xml:space="preserve">ทดสอบการเล่นเกมบน iPhone Air </t>
        </is>
      </c>
      <c r="B870" t="inlineStr">
        <is>
          <t>Saktaphat Kordjan</t>
        </is>
      </c>
      <c r="C870" s="2">
        <v>45932</v>
      </c>
      <c r="D870" s="2"/>
      <c r="E870" t="inlineStr">
        <is>
          <t>ปกติ</t>
        </is>
      </c>
      <c r="F870" s="3"/>
      <c r="G870"/>
      <c r="H870" t="inlineStr">
        <is>
          <t>Shorts</t>
        </is>
      </c>
      <c r="I870" t="inlineStr">
        <is>
          <t>เสนอไอเดีย</t>
        </is>
      </c>
      <c r="J870" t="inlineStr">
        <is>
          <t>Done</t>
        </is>
      </c>
      <c r="K870"/>
      <c r="L870" s="3"/>
      <c r="M870" t="inlineStr">
        <is>
          <t>1</t>
        </is>
      </c>
      <c r="N870" t="inlineStr">
        <is>
          <t>Apple</t>
        </is>
      </c>
      <c r="O870"/>
    </row>
    <row r="871" ht="12.75" customHeight="1">
      <c r="A871" t="inlineStr">
        <is>
          <t>มาแล้ว Premiere Pro สำหรับ iPhone</t>
        </is>
      </c>
      <c r="B871" t="inlineStr">
        <is>
          <t>Krongkwun  Rithiwong</t>
        </is>
      </c>
      <c r="C871" s="2">
        <v>45932</v>
      </c>
      <c r="D871" s="2">
        <v>45950.37994212963</v>
      </c>
      <c r="E871" t="inlineStr">
        <is>
          <t>ปกติ</t>
        </is>
      </c>
      <c r="F871" s="3"/>
      <c r="G871"/>
      <c r="H871" t="inlineStr">
        <is>
          <t>Shorts</t>
        </is>
      </c>
      <c r="I871" t="inlineStr">
        <is>
          <t>งานประจำวัน</t>
        </is>
      </c>
      <c r="J871" t="inlineStr">
        <is>
          <t>Done</t>
        </is>
      </c>
      <c r="K871"/>
      <c r="L871" s="3"/>
      <c r="M871" t="inlineStr">
        <is>
          <t>1</t>
        </is>
      </c>
      <c r="N871" t="inlineStr">
        <is>
          <t>Apple</t>
        </is>
      </c>
      <c r="O871"/>
    </row>
    <row r="872" ht="12.75" customHeight="1">
      <c r="A872" t="inlineStr">
        <is>
          <t>Powerbeats Fits</t>
        </is>
      </c>
      <c r="B872" t="inlineStr">
        <is>
          <t>Krongkwun  Rithiwong</t>
        </is>
      </c>
      <c r="C872" s="2">
        <v>45931.680625</v>
      </c>
      <c r="D872" s="2"/>
      <c r="E872" t="inlineStr">
        <is>
          <t>ด่วน!</t>
        </is>
      </c>
      <c r="F872" s="3"/>
      <c r="G872"/>
      <c r="H872" t="inlineStr">
        <is>
          <t>Shorts</t>
        </is>
      </c>
      <c r="I872" t="inlineStr">
        <is>
          <t>งานประจำวัน</t>
        </is>
      </c>
      <c r="J872" t="inlineStr">
        <is>
          <t>Done</t>
        </is>
      </c>
      <c r="K872"/>
      <c r="L872" s="3"/>
      <c r="M872" t="inlineStr">
        <is>
          <t>1</t>
        </is>
      </c>
      <c r="N872" t="inlineStr">
        <is>
          <t>Apple, Tech</t>
        </is>
      </c>
      <c r="O872"/>
    </row>
    <row r="873" ht="12.75" customHeight="1">
      <c r="A873" t="inlineStr">
        <is>
          <t>ผลิตภัณฑ์ VIntage 💾</t>
        </is>
      </c>
      <c r="B873" t="inlineStr">
        <is>
          <t>Krongkwun  Rithiwong</t>
        </is>
      </c>
      <c r="C873" s="2">
        <v>45931.68017361111</v>
      </c>
      <c r="D873" s="2"/>
      <c r="E873" t="inlineStr">
        <is>
          <t>ปกติ</t>
        </is>
      </c>
      <c r="F873" s="3"/>
      <c r="G873"/>
      <c r="H873" t="inlineStr">
        <is>
          <t>Shorts</t>
        </is>
      </c>
      <c r="I873" t="inlineStr">
        <is>
          <t>งานประจำวัน</t>
        </is>
      </c>
      <c r="J873" t="inlineStr">
        <is>
          <t>Done</t>
        </is>
      </c>
      <c r="K873"/>
      <c r="L873" s="3"/>
      <c r="M873" t="inlineStr">
        <is>
          <t>1</t>
        </is>
      </c>
      <c r="N873" t="inlineStr">
        <is>
          <t>Apple</t>
        </is>
      </c>
      <c r="O873"/>
    </row>
    <row r="874" ht="12.75" customHeight="1">
      <c r="A874" t="inlineStr">
        <is>
          <t>(ตัดจากคลิปใหญ่) iPhone 17 Pro เป็นรอยง่ายจริงไหม</t>
        </is>
      </c>
      <c r="B874" t="inlineStr">
        <is>
          <t>Thitirath Kinaret,Sasithakan Sritonthip</t>
        </is>
      </c>
      <c r="C874" s="2">
        <v>45931.678298611114</v>
      </c>
      <c r="D874" s="2"/>
      <c r="E874" t="inlineStr">
        <is>
          <t>ปกติ</t>
        </is>
      </c>
      <c r="F874" s="3"/>
      <c r="G874"/>
      <c r="H874" t="inlineStr">
        <is>
          <t>Shorts</t>
        </is>
      </c>
      <c r="I874" t="inlineStr">
        <is>
          <t>งานประจำวัน</t>
        </is>
      </c>
      <c r="J874" t="inlineStr">
        <is>
          <t>Done</t>
        </is>
      </c>
      <c r="K874"/>
      <c r="L874" s="3"/>
      <c r="M874" t="inlineStr">
        <is>
          <t>1</t>
        </is>
      </c>
      <c r="N874" t="inlineStr">
        <is>
          <t>Apple</t>
        </is>
      </c>
      <c r="O874"/>
    </row>
    <row r="875" ht="12.75" customHeight="1">
      <c r="A875" t="inlineStr">
        <is>
          <t>SANDISK Creator Series: บันทึกและแชร์โมเมนต์คอนเสิร์ตได้แบบไม่มีสะดุด</t>
        </is>
      </c>
      <c r="B875" t="inlineStr">
        <is>
          <t>Sasithakan Sritonthip</t>
        </is>
      </c>
      <c r="C875" s="2">
        <v>45931</v>
      </c>
      <c r="D875" s="2"/>
      <c r="E875" t="inlineStr">
        <is>
          <t>ปกติ</t>
        </is>
      </c>
      <c r="F875" s="3"/>
      <c r="G875" t="inlineStr">
        <is>
          <t>093025 TH_Sandisk Mobile Attach Article pitch.docx</t>
        </is>
      </c>
      <c r="H875" t="inlineStr">
        <is>
          <t>Website</t>
        </is>
      </c>
      <c r="I875" t="inlineStr">
        <is>
          <t>งานลูกค้า</t>
        </is>
      </c>
      <c r="J875" t="inlineStr">
        <is>
          <t>Done</t>
        </is>
      </c>
      <c r="K875"/>
      <c r="L875" s="3"/>
      <c r="M875" t="inlineStr">
        <is>
          <t>1</t>
        </is>
      </c>
      <c r="N875" t="inlineStr">
        <is>
          <t>ลูกค้า, Tech</t>
        </is>
      </c>
      <c r="O875"/>
    </row>
    <row r="876" ht="12.75" customHeight="1">
      <c r="A876" t="inlineStr">
        <is>
          <t>เผยภาพจากกล้อง iQOO 15 คาดมาพร้อมแบตความจุ 7,000 mAh</t>
        </is>
      </c>
      <c r="B876" t="inlineStr">
        <is>
          <t>Saktaphat Kordjan</t>
        </is>
      </c>
      <c r="C876" s="2">
        <v>45931</v>
      </c>
      <c r="D876" s="2"/>
      <c r="E876" t="inlineStr">
        <is>
          <t>ปกติ</t>
        </is>
      </c>
      <c r="F876" s="3"/>
      <c r="G876"/>
      <c r="H876" t="inlineStr">
        <is>
          <t>Website</t>
        </is>
      </c>
      <c r="I876" t="inlineStr">
        <is>
          <t>งานประจำวัน</t>
        </is>
      </c>
      <c r="J876" t="inlineStr">
        <is>
          <t>Done</t>
        </is>
      </c>
      <c r="K876"/>
      <c r="L876" s="3"/>
      <c r="M876" t="inlineStr">
        <is>
          <t>1</t>
        </is>
      </c>
      <c r="N876" t="inlineStr">
        <is>
          <t>Android</t>
        </is>
      </c>
      <c r="O876"/>
    </row>
    <row r="877" ht="12.75" customHeight="1">
      <c r="A877" t="inlineStr">
        <is>
          <t>DeepSeek เปิดตัวโมเดล ‘sparse attention’</t>
        </is>
      </c>
      <c r="B877" t="inlineStr">
        <is>
          <t>Nattida Suriyodara</t>
        </is>
      </c>
      <c r="C877" s="2">
        <v>45931</v>
      </c>
      <c r="D877" s="2"/>
      <c r="E877" t="inlineStr">
        <is>
          <t>ปกติ</t>
        </is>
      </c>
      <c r="F877" s="3"/>
      <c r="G877"/>
      <c r="H877" t="inlineStr">
        <is>
          <t>Website</t>
        </is>
      </c>
      <c r="I877" t="inlineStr">
        <is>
          <t>งานประจำวัน</t>
        </is>
      </c>
      <c r="J877" t="inlineStr">
        <is>
          <t>Done</t>
        </is>
      </c>
      <c r="K877"/>
      <c r="L877" s="3"/>
      <c r="M877" t="inlineStr">
        <is>
          <t>1</t>
        </is>
      </c>
      <c r="N877" t="inlineStr">
        <is>
          <t>AI</t>
        </is>
      </c>
      <c r="O877"/>
    </row>
    <row r="878" ht="12.75" customHeight="1">
      <c r="A878" t="inlineStr">
        <is>
          <t>Android Auto กำลังจะฉลาดขึ้นในการจัดการกับการโทร</t>
        </is>
      </c>
      <c r="B878" t="inlineStr">
        <is>
          <t>Saktaphat Kordjan</t>
        </is>
      </c>
      <c r="C878" s="2">
        <v>45931</v>
      </c>
      <c r="D878" s="2"/>
      <c r="E878" t="inlineStr">
        <is>
          <t>ปกติ</t>
        </is>
      </c>
      <c r="F878" s="3"/>
      <c r="G878"/>
      <c r="H878" t="inlineStr">
        <is>
          <t>Website</t>
        </is>
      </c>
      <c r="I878" t="inlineStr">
        <is>
          <t>งานประจำวัน</t>
        </is>
      </c>
      <c r="J878" t="inlineStr">
        <is>
          <t>Done</t>
        </is>
      </c>
      <c r="K878"/>
      <c r="L878" s="3"/>
      <c r="M878" t="inlineStr">
        <is>
          <t>1</t>
        </is>
      </c>
      <c r="N878" t="inlineStr">
        <is>
          <t>Android</t>
        </is>
      </c>
      <c r="O878"/>
    </row>
    <row r="879" ht="12.75" customHeight="1">
      <c r="A879" t="inlineStr">
        <is>
          <t>กล้องหน้า iPhone 17</t>
        </is>
      </c>
      <c r="B879" t="inlineStr">
        <is>
          <t>Nattida Suriyodara</t>
        </is>
      </c>
      <c r="C879" s="2">
        <v>45931</v>
      </c>
      <c r="D879" s="2"/>
      <c r="E879" t="inlineStr">
        <is>
          <t>ปกติ</t>
        </is>
      </c>
      <c r="F879" s="3"/>
      <c r="G879"/>
      <c r="H879" t="inlineStr">
        <is>
          <t>YouTube</t>
        </is>
      </c>
      <c r="I879" t="inlineStr">
        <is>
          <t>งานประจำวัน</t>
        </is>
      </c>
      <c r="J879" t="inlineStr">
        <is>
          <t>Done</t>
        </is>
      </c>
      <c r="K879"/>
      <c r="L879" s="3"/>
      <c r="M879" t="inlineStr">
        <is>
          <t>1</t>
        </is>
      </c>
      <c r="N879" t="inlineStr">
        <is>
          <t>Apple</t>
        </is>
      </c>
      <c r="O879"/>
    </row>
    <row r="880" ht="12.75" customHeight="1">
      <c r="A880" t="inlineStr">
        <is>
          <t>ฟีเจอร์ควบคุมไฟฉายใน One UI 8.5 ทำให้ใช้งานง่ายขึ้น</t>
        </is>
      </c>
      <c r="B880" t="inlineStr">
        <is>
          <t>Saktaphat Kordjan</t>
        </is>
      </c>
      <c r="C880" s="2">
        <v>45931</v>
      </c>
      <c r="D880" s="2"/>
      <c r="E880" t="inlineStr">
        <is>
          <t>ปกติ</t>
        </is>
      </c>
      <c r="F880" s="3"/>
      <c r="G880"/>
      <c r="H880" t="inlineStr">
        <is>
          <t>Website</t>
        </is>
      </c>
      <c r="I880" t="inlineStr">
        <is>
          <t>งานประจำวัน</t>
        </is>
      </c>
      <c r="J880" t="inlineStr">
        <is>
          <t>Done</t>
        </is>
      </c>
      <c r="K880"/>
      <c r="L880" s="3"/>
      <c r="M880" t="inlineStr">
        <is>
          <t>1</t>
        </is>
      </c>
      <c r="N880" t="inlineStr">
        <is>
          <t>Android</t>
        </is>
      </c>
      <c r="O880"/>
    </row>
    <row r="881" ht="12.75" customHeight="1">
      <c r="A881" t="inlineStr">
        <is>
          <t>Xiaomi 15T Series</t>
        </is>
      </c>
      <c r="B881" t="inlineStr">
        <is>
          <t>Saktaphat Kordjan</t>
        </is>
      </c>
      <c r="C881" s="2">
        <v>45931</v>
      </c>
      <c r="D881" s="2"/>
      <c r="E881" t="inlineStr">
        <is>
          <t>ปกติ</t>
        </is>
      </c>
      <c r="F881" s="3"/>
      <c r="G881"/>
      <c r="H881" t="inlineStr">
        <is>
          <t>Shorts</t>
        </is>
      </c>
      <c r="I881" t="inlineStr">
        <is>
          <t>งานประจำวัน</t>
        </is>
      </c>
      <c r="J881" t="inlineStr">
        <is>
          <t>Done</t>
        </is>
      </c>
      <c r="K881"/>
      <c r="L881" s="3"/>
      <c r="M881" t="inlineStr">
        <is>
          <t>1</t>
        </is>
      </c>
      <c r="N881" t="inlineStr">
        <is>
          <t>Android</t>
        </is>
      </c>
      <c r="O881"/>
    </row>
    <row r="882" ht="12.75" customHeight="1">
      <c r="A882" t="inlineStr">
        <is>
          <t>จุดต่างของ 17 Pro Max กับ 16 Pro Max</t>
        </is>
      </c>
      <c r="B882" t="inlineStr">
        <is>
          <t>Thitirath Kinaret,Sasithakan Sritonthip</t>
        </is>
      </c>
      <c r="C882" s="2">
        <v>45930.752071759256</v>
      </c>
      <c r="D882" s="2">
        <v>45931</v>
      </c>
      <c r="E882" t="inlineStr">
        <is>
          <t>ด่วน!</t>
        </is>
      </c>
      <c r="F882" s="3"/>
      <c r="G882"/>
      <c r="H882" t="inlineStr">
        <is>
          <t>Shorts</t>
        </is>
      </c>
      <c r="I882" t="inlineStr">
        <is>
          <t>งานลูกค้า</t>
        </is>
      </c>
      <c r="J882" t="inlineStr">
        <is>
          <t>Done</t>
        </is>
      </c>
      <c r="K882"/>
      <c r="L882" s="3"/>
      <c r="M882" t="inlineStr">
        <is>
          <t>1</t>
        </is>
      </c>
      <c r="N882" t="inlineStr">
        <is>
          <t>Apple, ลูกค้า</t>
        </is>
      </c>
      <c r="O882"/>
    </row>
    <row r="883" ht="12.75" customHeight="1">
      <c r="A883" t="inlineStr">
        <is>
          <t>สามารถซื้อสินค้าผ่าน ChatGPT ได้แล้ว</t>
        </is>
      </c>
      <c r="B883" t="inlineStr">
        <is>
          <t>Nattida Suriyodara</t>
        </is>
      </c>
      <c r="C883" s="2">
        <v>45930</v>
      </c>
      <c r="D883" s="2"/>
      <c r="E883" t="inlineStr">
        <is>
          <t>ปกติ</t>
        </is>
      </c>
      <c r="F883" s="3"/>
      <c r="G883"/>
      <c r="H883" t="inlineStr">
        <is>
          <t>Website, Shorts</t>
        </is>
      </c>
      <c r="I883" t="inlineStr">
        <is>
          <t>งานประจำวัน</t>
        </is>
      </c>
      <c r="J883" t="inlineStr">
        <is>
          <t>Done</t>
        </is>
      </c>
      <c r="K883"/>
      <c r="L883" s="3"/>
      <c r="M883" t="inlineStr">
        <is>
          <t>1</t>
        </is>
      </c>
      <c r="N883" t="inlineStr">
        <is>
          <t>AI</t>
        </is>
      </c>
      <c r="O883"/>
    </row>
    <row r="884" ht="12.75" customHeight="1">
      <c r="A884" t="inlineStr">
        <is>
          <t>เปิดตัว Claude Sonnet 4.5 พร้อมปรับปรุงการเข้ารหัส</t>
        </is>
      </c>
      <c r="B884" t="inlineStr">
        <is>
          <t>Nattida Suriyodara</t>
        </is>
      </c>
      <c r="C884" s="2">
        <v>45930</v>
      </c>
      <c r="D884" s="2"/>
      <c r="E884" t="inlineStr">
        <is>
          <t>ปกติ</t>
        </is>
      </c>
      <c r="F884" s="3"/>
      <c r="G884"/>
      <c r="H884" t="inlineStr">
        <is>
          <t>Website</t>
        </is>
      </c>
      <c r="I884" t="inlineStr">
        <is>
          <t>งานประจำวัน</t>
        </is>
      </c>
      <c r="J884" t="inlineStr">
        <is>
          <t>Done</t>
        </is>
      </c>
      <c r="K884"/>
      <c r="L884" s="3"/>
      <c r="M884" t="inlineStr">
        <is>
          <t>1</t>
        </is>
      </c>
      <c r="N884" t="inlineStr">
        <is>
          <t>Apple</t>
        </is>
      </c>
      <c r="O884"/>
    </row>
    <row r="885" ht="12.75" customHeight="1">
      <c r="A885" t="inlineStr">
        <is>
          <t xml:space="preserve">CMF Headphone Pro </t>
        </is>
      </c>
      <c r="B885" t="inlineStr">
        <is>
          <t>Saktaphat Kordjan</t>
        </is>
      </c>
      <c r="C885" s="2">
        <v>45930</v>
      </c>
      <c r="D885" s="2"/>
      <c r="E885" t="inlineStr">
        <is>
          <t>ปกติ</t>
        </is>
      </c>
      <c r="F885" s="3"/>
      <c r="G885"/>
      <c r="H885" t="inlineStr">
        <is>
          <t>Website, Pic Posts / Album</t>
        </is>
      </c>
      <c r="I885" t="inlineStr">
        <is>
          <t>งานประจำวัน</t>
        </is>
      </c>
      <c r="J885" t="inlineStr">
        <is>
          <t>Done</t>
        </is>
      </c>
      <c r="K885"/>
      <c r="L885" s="3"/>
      <c r="M885" t="inlineStr">
        <is>
          <t>1</t>
        </is>
      </c>
      <c r="N885" t="inlineStr">
        <is>
          <t>Android, Tech</t>
        </is>
      </c>
      <c r="O885"/>
    </row>
    <row r="886" ht="12.75" customHeight="1">
      <c r="A886" t="inlineStr">
        <is>
          <t>Galaxy Ring แบตเตอรี่บวมจนทำให้นิ้วติด</t>
        </is>
      </c>
      <c r="B886" t="inlineStr">
        <is>
          <t>Saktaphat Kordjan</t>
        </is>
      </c>
      <c r="C886" s="2">
        <v>45930</v>
      </c>
      <c r="D886" s="2"/>
      <c r="E886" t="inlineStr">
        <is>
          <t>ปกติ</t>
        </is>
      </c>
      <c r="F886" s="3"/>
      <c r="G886"/>
      <c r="H886" t="inlineStr">
        <is>
          <t>Website</t>
        </is>
      </c>
      <c r="I886" t="inlineStr">
        <is>
          <t>งานประจำวัน</t>
        </is>
      </c>
      <c r="J886" t="inlineStr">
        <is>
          <t>Done</t>
        </is>
      </c>
      <c r="K886"/>
      <c r="L886" s="3"/>
      <c r="M886" t="inlineStr">
        <is>
          <t>1</t>
        </is>
      </c>
      <c r="N886" t="inlineStr">
        <is>
          <t>Android</t>
        </is>
      </c>
      <c r="O886"/>
    </row>
    <row r="887" ht="12.75" customHeight="1">
      <c r="A887" t="inlineStr">
        <is>
          <t>RTB เปิดตัวไม้กันสั่น "Hohem iSteady V3 Ultra" รุ่นเทคโนโลยี Multimodal AI Tracker ถ่ายคอนเทนต์ระดับมืออาชีพ</t>
        </is>
      </c>
      <c r="B887" t="inlineStr">
        <is>
          <t>Sasithakan Sritonthip</t>
        </is>
      </c>
      <c r="C887" s="2">
        <v>45929.697291666664</v>
      </c>
      <c r="D887" s="2"/>
      <c r="E887" t="inlineStr">
        <is>
          <t>ปกติ</t>
        </is>
      </c>
      <c r="F887" s="3" t="str">
        <f>=HYPERLINK("https://mail.google.com/mail/u/0/#inbox/FMfcgzQcpwrkNXkMRKszMwrWNgbVclrW", "https://mail.google.com/mail/u/0/#inbox/FMfcgzQcpwrkNXkMRKszMwrWNgbVclrW")</f>
        <v>https://mail.google.com/mail/u/0/#inbox/FMfcgzQcpwrkNXkMRKszMwrWNgbVclrW</v>
      </c>
      <c r="G887"/>
      <c r="H887" t="inlineStr">
        <is>
          <t>Website</t>
        </is>
      </c>
      <c r="I887" t="inlineStr">
        <is>
          <t>งานลูกค้า</t>
        </is>
      </c>
      <c r="J887" t="inlineStr">
        <is>
          <t>Done</t>
        </is>
      </c>
      <c r="K887"/>
      <c r="L887" s="3"/>
      <c r="M887" t="inlineStr">
        <is>
          <t>1</t>
        </is>
      </c>
      <c r="N887" t="inlineStr">
        <is>
          <t>ลูกค้า</t>
        </is>
      </c>
      <c r="O887"/>
    </row>
    <row r="888" ht="12.75" customHeight="1">
      <c r="A888" t="inlineStr">
        <is>
          <t>ChargerLAB ทดสอบความเร็วการชาร์จ iPhone 17 ของหัวชาร์จแต่ละรุ่น</t>
        </is>
      </c>
      <c r="B888" t="inlineStr">
        <is>
          <t>Sasithakan Sritonthip</t>
        </is>
      </c>
      <c r="C888" s="2">
        <v>45929.39236111111</v>
      </c>
      <c r="D888" s="2"/>
      <c r="E888" t="inlineStr">
        <is>
          <t>ปกติ</t>
        </is>
      </c>
      <c r="F888" s="3" t="str">
        <f>=HYPERLINK("https://www.macrumors.com/2025/09/26/iphone-17-usb-c-charging-speed-test/", "https://www.macrumors.com/2025/09/26/iphone-17-usb-c-charging-speed-test/")</f>
        <v>https://www.macrumors.com/2025/09/26/iphone-17-usb-c-charging-speed-test/</v>
      </c>
      <c r="G888"/>
      <c r="H888" t="inlineStr">
        <is>
          <t>Website</t>
        </is>
      </c>
      <c r="I888" t="inlineStr">
        <is>
          <t>งานประจำวัน</t>
        </is>
      </c>
      <c r="J888" t="inlineStr">
        <is>
          <t>Done</t>
        </is>
      </c>
      <c r="K888"/>
      <c r="L888" s="3"/>
      <c r="M888" t="inlineStr">
        <is>
          <t>1</t>
        </is>
      </c>
      <c r="N888" t="inlineStr">
        <is>
          <t>Apple</t>
        </is>
      </c>
      <c r="O888"/>
    </row>
    <row r="889" ht="12.75" customHeight="1">
      <c r="A889" t="inlineStr">
        <is>
          <t>iPhone 17 ทดสอบความเร็วในการชาร์จของ USB-C รุ่นต่าง ๆ</t>
        </is>
      </c>
      <c r="B889" t="inlineStr">
        <is>
          <t>Sasithakan Sritonthip</t>
        </is>
      </c>
      <c r="C889" s="2">
        <v>45929.39140046296</v>
      </c>
      <c r="D889" s="2"/>
      <c r="E889" t="inlineStr">
        <is>
          <t>ปกติ</t>
        </is>
      </c>
      <c r="F889" s="3" t="str">
        <f>=HYPERLINK("https://www.macrumors.com/2025/09/26/iphone-17-usb-c-charging-speed-test/", "https://www.macrumors.com/2025/09/26/iphone-17-usb-c-charging-speed-test/")</f>
        <v>https://www.macrumors.com/2025/09/26/iphone-17-usb-c-charging-speed-test/</v>
      </c>
      <c r="G889"/>
      <c r="H889" t="inlineStr">
        <is>
          <t>Website</t>
        </is>
      </c>
      <c r="I889" t="inlineStr">
        <is>
          <t>งานประจำวัน</t>
        </is>
      </c>
      <c r="J889" t="inlineStr">
        <is>
          <t>Done</t>
        </is>
      </c>
      <c r="K889"/>
      <c r="L889" s="3"/>
      <c r="M889" t="inlineStr">
        <is>
          <t>1</t>
        </is>
      </c>
      <c r="N889" t="inlineStr">
        <is>
          <t>Apple</t>
        </is>
      </c>
      <c r="O889"/>
    </row>
    <row r="890" ht="12.75" customHeight="1">
      <c r="A890" t="inlineStr">
        <is>
          <t>AirPods Pro 3 เปิดให้สั่งจองในไทยแล้ว!</t>
        </is>
      </c>
      <c r="B890" t="inlineStr">
        <is>
          <t>Nattida Suriyodara,Sasithakan Sritonthip</t>
        </is>
      </c>
      <c r="C890" s="2">
        <v>45929</v>
      </c>
      <c r="D890" s="2"/>
      <c r="E890" t="inlineStr">
        <is>
          <t>ปกติ</t>
        </is>
      </c>
      <c r="F890" s="3"/>
      <c r="G890"/>
      <c r="H890" t="inlineStr">
        <is>
          <t>Shorts</t>
        </is>
      </c>
      <c r="I890" t="inlineStr">
        <is>
          <t>งานประจำวัน</t>
        </is>
      </c>
      <c r="J890" t="inlineStr">
        <is>
          <t>Done</t>
        </is>
      </c>
      <c r="K890"/>
      <c r="L890" s="3"/>
      <c r="M890" t="inlineStr">
        <is>
          <t>1</t>
        </is>
      </c>
      <c r="N890" t="inlineStr">
        <is>
          <t>Apple</t>
        </is>
      </c>
      <c r="O890"/>
    </row>
    <row r="891" ht="12.75" customHeight="1">
      <c r="A891" t="inlineStr">
        <is>
          <t>Apple Intelligence กำลังได้รับกการแก้ไขใน iPhone 17 บางรุ่น</t>
        </is>
      </c>
      <c r="B891" t="inlineStr">
        <is>
          <t>Nattida Suriyodara</t>
        </is>
      </c>
      <c r="C891" s="2">
        <v>45929</v>
      </c>
      <c r="D891" s="2"/>
      <c r="E891" t="inlineStr">
        <is>
          <t>ปกติ</t>
        </is>
      </c>
      <c r="F891" s="3"/>
      <c r="G891"/>
      <c r="H891" t="inlineStr">
        <is>
          <t>Website</t>
        </is>
      </c>
      <c r="I891" t="inlineStr">
        <is>
          <t>งานประจำวัน</t>
        </is>
      </c>
      <c r="J891" t="inlineStr">
        <is>
          <t>Done</t>
        </is>
      </c>
      <c r="K891"/>
      <c r="L891" s="3"/>
      <c r="M891" t="inlineStr">
        <is>
          <t>1</t>
        </is>
      </c>
      <c r="N891" t="inlineStr">
        <is>
          <t>AI, Apple</t>
        </is>
      </c>
      <c r="O891"/>
    </row>
    <row r="892" ht="12.75" customHeight="1">
      <c r="A892" t="inlineStr">
        <is>
          <t>แชร์ประสบการณ์ iPhonne 17 Series</t>
        </is>
      </c>
      <c r="B892" t="inlineStr">
        <is>
          <t>Thitirath Kinaret,Saktaphat Kordjan,Nattida Suriyodara</t>
        </is>
      </c>
      <c r="C892" s="2">
        <v>45929</v>
      </c>
      <c r="D892" s="2"/>
      <c r="E892" t="inlineStr">
        <is>
          <t>ปกติ</t>
        </is>
      </c>
      <c r="F892" s="3"/>
      <c r="G892"/>
      <c r="H892" t="inlineStr">
        <is>
          <t>YouTube</t>
        </is>
      </c>
      <c r="I892" t="inlineStr">
        <is>
          <t>เสนอไอเดีย, งานลูกค้า</t>
        </is>
      </c>
      <c r="J892" t="inlineStr">
        <is>
          <t>Done</t>
        </is>
      </c>
      <c r="K892"/>
      <c r="L892" s="3"/>
      <c r="M892" t="inlineStr">
        <is>
          <t>1</t>
        </is>
      </c>
      <c r="N892" t="inlineStr">
        <is>
          <t>Apple</t>
        </is>
      </c>
      <c r="O892"/>
    </row>
    <row r="893" ht="12.75" customHeight="1">
      <c r="A893" t="inlineStr">
        <is>
          <t>ข่าวประชาสัมพันธ์ Huawei Watch GT6 Series</t>
        </is>
      </c>
      <c r="B893" t="inlineStr">
        <is>
          <t>Saktaphat Kordjan</t>
        </is>
      </c>
      <c r="C893" s="2">
        <v>45929</v>
      </c>
      <c r="D893" s="2"/>
      <c r="E893" t="inlineStr">
        <is>
          <t>ปกติ</t>
        </is>
      </c>
      <c r="F893" s="3"/>
      <c r="G893"/>
      <c r="H893" t="inlineStr">
        <is>
          <t>Website</t>
        </is>
      </c>
      <c r="I893" t="inlineStr">
        <is>
          <t>งานประจำวัน</t>
        </is>
      </c>
      <c r="J893" t="inlineStr">
        <is>
          <t>Done</t>
        </is>
      </c>
      <c r="K893"/>
      <c r="L893" s="3"/>
      <c r="M893" t="inlineStr">
        <is>
          <t>1</t>
        </is>
      </c>
      <c r="N893" t="inlineStr">
        <is>
          <t>PR</t>
        </is>
      </c>
      <c r="O893"/>
    </row>
    <row r="894" ht="12.75" customHeight="1">
      <c r="A894" t="inlineStr">
        <is>
          <t>Apple Watch โทร SOS ช่วยชีวิต</t>
        </is>
      </c>
      <c r="B894" t="inlineStr">
        <is>
          <t>Nattida Suriyodara</t>
        </is>
      </c>
      <c r="C894" s="2">
        <v>45929</v>
      </c>
      <c r="D894" s="2"/>
      <c r="E894" t="inlineStr">
        <is>
          <t>ปกติ</t>
        </is>
      </c>
      <c r="F894" s="3"/>
      <c r="G894"/>
      <c r="H894" t="inlineStr">
        <is>
          <t>Pic Posts / Album</t>
        </is>
      </c>
      <c r="I894" t="inlineStr">
        <is>
          <t>งานประจำวัน</t>
        </is>
      </c>
      <c r="J894" t="inlineStr">
        <is>
          <t>Done</t>
        </is>
      </c>
      <c r="K894"/>
      <c r="L894" s="3"/>
      <c r="M894" t="inlineStr">
        <is>
          <t>1</t>
        </is>
      </c>
      <c r="N894" t="inlineStr">
        <is>
          <t>Apple</t>
        </is>
      </c>
      <c r="O894"/>
    </row>
    <row r="895" ht="12.75" customHeight="1">
      <c r="A895" t="inlineStr">
        <is>
          <t>ผลทดสอบ AnTuTu ของ Honor Magic8 เทียบ Xiaomi 17 Pro</t>
        </is>
      </c>
      <c r="B895" t="inlineStr">
        <is>
          <t>Saktaphat Kordjan</t>
        </is>
      </c>
      <c r="C895" s="2">
        <v>45929</v>
      </c>
      <c r="D895" s="2"/>
      <c r="E895" t="inlineStr">
        <is>
          <t>ปกติ</t>
        </is>
      </c>
      <c r="F895" s="3"/>
      <c r="G895"/>
      <c r="H895" t="inlineStr">
        <is>
          <t>Website</t>
        </is>
      </c>
      <c r="I895" t="inlineStr">
        <is>
          <t>งานประจำวัน</t>
        </is>
      </c>
      <c r="J895" t="inlineStr">
        <is>
          <t>Done</t>
        </is>
      </c>
      <c r="K895"/>
      <c r="L895" s="3"/>
      <c r="M895" t="inlineStr">
        <is>
          <t>1</t>
        </is>
      </c>
      <c r="N895" t="inlineStr">
        <is>
          <t>Android</t>
        </is>
      </c>
      <c r="O895"/>
    </row>
    <row r="896" ht="12.75" customHeight="1">
      <c r="A896" t="inlineStr">
        <is>
          <t>visionOS 26 เพิ่ม 2 ฟีเจอร์ใหม่ ในการใช้งานร่วมกับ iPhone</t>
        </is>
      </c>
      <c r="B896" t="inlineStr">
        <is>
          <t>Sasithakan Sritonthip</t>
        </is>
      </c>
      <c r="C896" s="2">
        <v>45926.746516203704</v>
      </c>
      <c r="D896" s="2"/>
      <c r="E896" t="inlineStr">
        <is>
          <t>ปกติ</t>
        </is>
      </c>
      <c r="F896" s="3" t="str">
        <f>=HYPERLINK("https://9to5mac.com/2025/09/25/visionos-26-just-added-two-iphone-features-that-users-have-long-wanted/", "https://9to5mac.com/2025/09/25/visionos-26-just-added-two-iphone-features-that-users-have-long-wanted/")</f>
        <v>https://9to5mac.com/2025/09/25/visionos-26-just-added-two-iphone-features-that-users-have-long-wanted/</v>
      </c>
      <c r="G896"/>
      <c r="H896" t="inlineStr">
        <is>
          <t>Website</t>
        </is>
      </c>
      <c r="I896" t="inlineStr">
        <is>
          <t>งานประจำวัน</t>
        </is>
      </c>
      <c r="J896" t="inlineStr">
        <is>
          <t>Done</t>
        </is>
      </c>
      <c r="K896"/>
      <c r="L896" s="3" t="str">
        <f>=HYPERLINK("https://www.iphonemod.net/visionos-26-upgrade-add-iphone-features.html", "https://www.iphonemod.net/visionos-26-upgrade-add-iphone-features.html")</f>
        <v>https://www.iphonemod.net/visionos-26-upgrade-add-iphone-features.html</v>
      </c>
      <c r="M896" t="inlineStr">
        <is>
          <t>1</t>
        </is>
      </c>
      <c r="N896" t="inlineStr">
        <is>
          <t>Apple</t>
        </is>
      </c>
      <c r="O896"/>
    </row>
    <row r="897" ht="12.75" customHeight="1">
      <c r="A897" t="inlineStr">
        <is>
          <t>Goodnotes เชื่อม “ลายมือดิจิทัล” เข้ากับ Generative AI ปิดช่องว่างด้านประสิทธิภาพในการทำงาน</t>
        </is>
      </c>
      <c r="B897" t="inlineStr">
        <is>
          <t>Sasithakan Sritonthip</t>
        </is>
      </c>
      <c r="C897" s="2">
        <v>45926.42453703703</v>
      </c>
      <c r="D897" s="2"/>
      <c r="E897" t="inlineStr">
        <is>
          <t>ปกติ</t>
        </is>
      </c>
      <c r="F897" s="3" t="str">
        <f>=HYPERLINK("https://mail.google.com/mail/u/0/#inbox/FMfcgzQcpwnHpKHjRCcBbMSLjdxqPZMN", "https://mail.google.com/mail/u/0/#inbox/FMfcgzQcpwnHpKHjRCcBbMSLjdxqPZMN")</f>
        <v>https://mail.google.com/mail/u/0/#inbox/FMfcgzQcpwnHpKHjRCcBbMSLjdxqPZMN</v>
      </c>
      <c r="G897"/>
      <c r="H897" t="inlineStr">
        <is>
          <t>Website</t>
        </is>
      </c>
      <c r="I897" t="inlineStr">
        <is>
          <t>งานลูกค้า</t>
        </is>
      </c>
      <c r="J897" t="inlineStr">
        <is>
          <t>Done</t>
        </is>
      </c>
      <c r="K897"/>
      <c r="L897" s="3"/>
      <c r="M897" t="inlineStr">
        <is>
          <t>1</t>
        </is>
      </c>
      <c r="N897" t="inlineStr">
        <is>
          <t>ลูกค้า</t>
        </is>
      </c>
      <c r="O897"/>
    </row>
    <row r="898" ht="12.75" customHeight="1">
      <c r="A898" t="inlineStr">
        <is>
          <t xml:space="preserve">วิธีปิด Always on Display บน iPhone </t>
        </is>
      </c>
      <c r="B898" t="inlineStr">
        <is>
          <t>Nattida Suriyodara</t>
        </is>
      </c>
      <c r="C898" s="2">
        <v>45926</v>
      </c>
      <c r="D898" s="2"/>
      <c r="E898" t="inlineStr">
        <is>
          <t>ปกติ</t>
        </is>
      </c>
      <c r="F898" s="3"/>
      <c r="G898"/>
      <c r="H898" t="inlineStr">
        <is>
          <t>Website</t>
        </is>
      </c>
      <c r="I898" t="inlineStr">
        <is>
          <t>งานประจำวัน</t>
        </is>
      </c>
      <c r="J898" t="inlineStr">
        <is>
          <t>Done</t>
        </is>
      </c>
      <c r="K898"/>
      <c r="L898" s="3"/>
      <c r="M898" t="inlineStr">
        <is>
          <t>1</t>
        </is>
      </c>
      <c r="N898" t="inlineStr">
        <is>
          <t>Apple</t>
        </is>
      </c>
      <c r="O898"/>
    </row>
    <row r="899" ht="12.75" customHeight="1">
      <c r="A899" t="inlineStr">
        <is>
          <t>กล้องหลัง iPhone 17</t>
        </is>
      </c>
      <c r="B899" t="inlineStr">
        <is>
          <t>Nattida Suriyodara</t>
        </is>
      </c>
      <c r="C899" s="2">
        <v>45926</v>
      </c>
      <c r="D899" s="2"/>
      <c r="E899" t="inlineStr">
        <is>
          <t>ปกติ</t>
        </is>
      </c>
      <c r="F899" s="3"/>
      <c r="G899"/>
      <c r="H899" t="inlineStr">
        <is>
          <t>Shorts</t>
        </is>
      </c>
      <c r="I899" t="inlineStr">
        <is>
          <t>งานประจำวัน</t>
        </is>
      </c>
      <c r="J899" t="inlineStr">
        <is>
          <t>Done</t>
        </is>
      </c>
      <c r="K899"/>
      <c r="L899" s="3"/>
      <c r="M899" t="inlineStr">
        <is>
          <t>1</t>
        </is>
      </c>
      <c r="N899" t="inlineStr">
        <is>
          <t>Apple</t>
        </is>
      </c>
      <c r="O899"/>
    </row>
    <row r="900" ht="12.75" customHeight="1">
      <c r="A900" t="inlineStr">
        <is>
          <t xml:space="preserve">เปิดตัวแล้ว! Xiaomi 17 Pro และ Pro Max </t>
        </is>
      </c>
      <c r="B900" t="inlineStr">
        <is>
          <t>Saktaphat Kordjan</t>
        </is>
      </c>
      <c r="C900" s="2">
        <v>45926</v>
      </c>
      <c r="D900" s="2"/>
      <c r="E900" t="inlineStr">
        <is>
          <t>ปกติ</t>
        </is>
      </c>
      <c r="F900" s="3"/>
      <c r="G900"/>
      <c r="H900" t="inlineStr">
        <is>
          <t>Pic Posts / Album, Website</t>
        </is>
      </c>
      <c r="I900" t="inlineStr">
        <is>
          <t>งานประจำวัน</t>
        </is>
      </c>
      <c r="J900" t="inlineStr">
        <is>
          <t>Done</t>
        </is>
      </c>
      <c r="K900"/>
      <c r="L900" s="3"/>
      <c r="M900" t="inlineStr">
        <is>
          <t>1</t>
        </is>
      </c>
      <c r="N900" t="inlineStr">
        <is>
          <t>Android</t>
        </is>
      </c>
      <c r="O900"/>
    </row>
    <row r="901" ht="12.75" customHeight="1">
      <c r="A901" t="inlineStr">
        <is>
          <t>เปรียบเทียบ AirPods Pro 3 และ AirPods 4</t>
        </is>
      </c>
      <c r="B901" t="inlineStr">
        <is>
          <t>Nattida Suriyodara</t>
        </is>
      </c>
      <c r="C901" s="2">
        <v>45926</v>
      </c>
      <c r="D901" s="2"/>
      <c r="E901" t="inlineStr">
        <is>
          <t>ปกติ</t>
        </is>
      </c>
      <c r="F901" s="3"/>
      <c r="G901"/>
      <c r="H901" t="inlineStr">
        <is>
          <t>Website</t>
        </is>
      </c>
      <c r="I901" t="inlineStr">
        <is>
          <t>งานประจำวัน</t>
        </is>
      </c>
      <c r="J901" t="inlineStr">
        <is>
          <t>Done</t>
        </is>
      </c>
      <c r="K901"/>
      <c r="L901" s="3"/>
      <c r="M901" t="inlineStr">
        <is>
          <t>1</t>
        </is>
      </c>
      <c r="N901" t="inlineStr">
        <is>
          <t>Apple</t>
        </is>
      </c>
      <c r="O901"/>
    </row>
    <row r="902" ht="12.75" customHeight="1">
      <c r="A902" t="inlineStr">
        <is>
          <t>Xiaomi 17 มาพร้อมแบต 7,000 mAh และ Snapdragon 8 Elite Gen 5</t>
        </is>
      </c>
      <c r="B902" t="inlineStr">
        <is>
          <t>Saktaphat Kordjan</t>
        </is>
      </c>
      <c r="C902" s="2">
        <v>45926</v>
      </c>
      <c r="D902" s="2"/>
      <c r="E902" t="inlineStr">
        <is>
          <t>ปกติ</t>
        </is>
      </c>
      <c r="F902" s="3"/>
      <c r="G902"/>
      <c r="H902" t="inlineStr">
        <is>
          <t>Website</t>
        </is>
      </c>
      <c r="I902" t="inlineStr">
        <is>
          <t>งานประจำวัน</t>
        </is>
      </c>
      <c r="J902" t="inlineStr">
        <is>
          <t>Done</t>
        </is>
      </c>
      <c r="K902"/>
      <c r="L902" s="3"/>
      <c r="M902" t="inlineStr">
        <is>
          <t>1</t>
        </is>
      </c>
      <c r="N902" t="inlineStr">
        <is>
          <t>Android</t>
        </is>
      </c>
      <c r="O902"/>
    </row>
    <row r="903" ht="12.75" customHeight="1">
      <c r="A903" t="inlineStr">
        <is>
          <t>ทรู ดีแทค 5G จำหน่าย iPhone 17 Series พร้อมโปรที่คุ้มสะใจ บนเครือข่ายที่ดีที่สุดทั่วไทย</t>
        </is>
      </c>
      <c r="B903" t="inlineStr">
        <is>
          <t>Thitirath Kinaret,Sasithakan Sritonthip</t>
        </is>
      </c>
      <c r="C903" s="2">
        <v>45925.40898148148</v>
      </c>
      <c r="D903" s="2"/>
      <c r="E903" t="inlineStr">
        <is>
          <t>ปกติ</t>
        </is>
      </c>
      <c r="F903" s="3"/>
      <c r="G903" t="inlineStr">
        <is>
          <t>Update  Pro iPhone17.docx</t>
        </is>
      </c>
      <c r="H903" t="inlineStr">
        <is>
          <t>Website</t>
        </is>
      </c>
      <c r="I903" t="inlineStr">
        <is>
          <t>งานลูกค้า</t>
        </is>
      </c>
      <c r="J903" t="inlineStr">
        <is>
          <t>Done</t>
        </is>
      </c>
      <c r="K903"/>
      <c r="L903" s="3"/>
      <c r="M903" t="inlineStr">
        <is>
          <t>1</t>
        </is>
      </c>
      <c r="N903" t="inlineStr">
        <is>
          <t>ลูกค้า</t>
        </is>
      </c>
      <c r="O903"/>
    </row>
    <row r="904" ht="12.75" customHeight="1">
      <c r="A904" t="inlineStr">
        <is>
          <t>วันสุดท้ายโปรโมชัน Back to School (ลง 29)</t>
        </is>
      </c>
      <c r="B904" t="inlineStr">
        <is>
          <t>Nattida Suriyodara</t>
        </is>
      </c>
      <c r="C904" s="2">
        <v>45925</v>
      </c>
      <c r="D904" s="2">
        <v>45929.333333333336</v>
      </c>
      <c r="E904" t="inlineStr">
        <is>
          <t>ปกติ</t>
        </is>
      </c>
      <c r="F904" s="3"/>
      <c r="G904"/>
      <c r="H904" t="inlineStr">
        <is>
          <t>Shorts</t>
        </is>
      </c>
      <c r="I904" t="inlineStr">
        <is>
          <t>งานประจำวัน</t>
        </is>
      </c>
      <c r="J904" t="inlineStr">
        <is>
          <t>Done</t>
        </is>
      </c>
      <c r="K904"/>
      <c r="L904" s="3"/>
      <c r="M904" t="inlineStr">
        <is>
          <t>1</t>
        </is>
      </c>
      <c r="N904" t="inlineStr">
        <is>
          <t>Apple</t>
        </is>
      </c>
      <c r="O904"/>
    </row>
    <row r="905" ht="12.75" customHeight="1">
      <c r="A905" t="inlineStr">
        <is>
          <t>Honor X9d เปิดตัวพร้อมแบต 8,300mAh และ IP69K</t>
        </is>
      </c>
      <c r="B905" t="inlineStr">
        <is>
          <t>Saktaphat Kordjan</t>
        </is>
      </c>
      <c r="C905" s="2">
        <v>45925</v>
      </c>
      <c r="D905" s="2"/>
      <c r="E905" t="inlineStr">
        <is>
          <t>ปกติ</t>
        </is>
      </c>
      <c r="F905" s="3"/>
      <c r="G905"/>
      <c r="H905" t="inlineStr">
        <is>
          <t>Website</t>
        </is>
      </c>
      <c r="I905" t="inlineStr">
        <is>
          <t>งานประจำวัน</t>
        </is>
      </c>
      <c r="J905" t="inlineStr">
        <is>
          <t>Done</t>
        </is>
      </c>
      <c r="K905"/>
      <c r="L905" s="3"/>
      <c r="M905" t="inlineStr">
        <is>
          <t>1</t>
        </is>
      </c>
      <c r="N905" t="inlineStr">
        <is>
          <t>Android</t>
        </is>
      </c>
      <c r="O905"/>
    </row>
    <row r="906" ht="12.75" customHeight="1">
      <c r="A906" t="inlineStr">
        <is>
          <t>iPhone 17 Pro Max VS S25 Ultra</t>
        </is>
      </c>
      <c r="B906" t="inlineStr">
        <is>
          <t>Saktaphat Kordjan</t>
        </is>
      </c>
      <c r="C906" s="2">
        <v>45925</v>
      </c>
      <c r="D906" s="2"/>
      <c r="E906" t="inlineStr">
        <is>
          <t>ปกติ</t>
        </is>
      </c>
      <c r="F906" s="3"/>
      <c r="G906"/>
      <c r="H906" t="inlineStr">
        <is>
          <t>Shorts, Pic Posts / Album</t>
        </is>
      </c>
      <c r="I906" t="inlineStr">
        <is>
          <t>เสนอไอเดีย</t>
        </is>
      </c>
      <c r="J906" t="inlineStr">
        <is>
          <t>Done</t>
        </is>
      </c>
      <c r="K906"/>
      <c r="L906" s="3"/>
      <c r="M906" t="inlineStr">
        <is>
          <t>1</t>
        </is>
      </c>
      <c r="N906" t="inlineStr">
        <is>
          <t>Apple, Android</t>
        </is>
      </c>
      <c r="O906"/>
    </row>
    <row r="907" ht="12.75" customHeight="1">
      <c r="A907" t="inlineStr">
        <is>
          <t>IFXIT แกะตัวเครื่อง iPhone 17 Pro</t>
        </is>
      </c>
      <c r="B907" t="inlineStr">
        <is>
          <t>Sasithakan Sritonthip</t>
        </is>
      </c>
      <c r="C907" s="2">
        <v>45924.399050925924</v>
      </c>
      <c r="D907" s="2"/>
      <c r="E907" t="inlineStr">
        <is>
          <t>ปกติ</t>
        </is>
      </c>
      <c r="F907" s="3" t="str">
        <f>=HYPERLINK("https://www.ifixit.com/News/113388/iphone-17-pro-teardownhttps://www.macrumors.com/2025/09/23/ifixit-iphone-17-pro-teardown/", "https://www.ifixit.com/News/113388/iphone-17-pro-teardownhttps://www.macrumors.com/2025/09/23/ifixit-iphone-17-pro-teardown/")</f>
        <v>https://www.ifixit.com/News/113388/iphone-17-pro-teardownhttps://www.macrumors.com/2025/09/23/ifixit-iphone-17-pro-teardown/</v>
      </c>
      <c r="G907"/>
      <c r="H907" t="inlineStr">
        <is>
          <t>Website</t>
        </is>
      </c>
      <c r="I907" t="inlineStr">
        <is>
          <t>งานประจำวัน</t>
        </is>
      </c>
      <c r="J907" t="inlineStr">
        <is>
          <t>Done</t>
        </is>
      </c>
      <c r="K907"/>
      <c r="L907" s="3"/>
      <c r="M907" t="inlineStr">
        <is>
          <t>1</t>
        </is>
      </c>
      <c r="N907" t="inlineStr">
        <is>
          <t>Apple</t>
        </is>
      </c>
      <c r="O907"/>
    </row>
    <row r="908" ht="12.75" customHeight="1">
      <c r="A908" t="inlineStr">
        <is>
          <t>Apple Watch รุ่นใหม่เปิดให้จองแล้ว</t>
        </is>
      </c>
      <c r="B908" t="inlineStr">
        <is>
          <t>Nattida Suriyodara,Sasithakan Sritonthip</t>
        </is>
      </c>
      <c r="C908" s="2">
        <v>45924</v>
      </c>
      <c r="D908" s="2"/>
      <c r="E908" t="inlineStr">
        <is>
          <t>ด่วน!</t>
        </is>
      </c>
      <c r="F908" s="3"/>
      <c r="G908"/>
      <c r="H908" t="inlineStr">
        <is>
          <t>Shorts</t>
        </is>
      </c>
      <c r="I908" t="inlineStr">
        <is>
          <t>งานประจำวัน</t>
        </is>
      </c>
      <c r="J908" t="inlineStr">
        <is>
          <t>Done</t>
        </is>
      </c>
      <c r="K908"/>
      <c r="L908" s="3"/>
      <c r="M908" t="inlineStr">
        <is>
          <t>1</t>
        </is>
      </c>
      <c r="N908" t="inlineStr">
        <is>
          <t>Apple</t>
        </is>
      </c>
      <c r="O908"/>
    </row>
    <row r="909" ht="12.75" customHeight="1">
      <c r="A909" t="inlineStr">
        <is>
          <t xml:space="preserve">iPhone Air แบตอึดกว่า S25 Edge </t>
        </is>
      </c>
      <c r="B909" t="inlineStr">
        <is>
          <t>Saktaphat Kordjan</t>
        </is>
      </c>
      <c r="C909" s="2">
        <v>45924</v>
      </c>
      <c r="D909" s="2"/>
      <c r="E909" t="inlineStr">
        <is>
          <t>ปกติ</t>
        </is>
      </c>
      <c r="F909" s="3"/>
      <c r="G909"/>
      <c r="H909" t="inlineStr">
        <is>
          <t>Pic Posts / Album</t>
        </is>
      </c>
      <c r="I909" t="inlineStr">
        <is>
          <t>งานประจำวัน</t>
        </is>
      </c>
      <c r="J909" t="inlineStr">
        <is>
          <t>Done</t>
        </is>
      </c>
      <c r="K909"/>
      <c r="L909" s="3"/>
      <c r="M909" t="inlineStr">
        <is>
          <t>1</t>
        </is>
      </c>
      <c r="N909" t="inlineStr">
        <is>
          <t>Android, Apple</t>
        </is>
      </c>
      <c r="O909"/>
    </row>
    <row r="910" ht="12.75" customHeight="1">
      <c r="A910" t="inlineStr">
        <is>
          <t>iPhone Air แข็งแรงกว่าที่เคลม</t>
        </is>
      </c>
      <c r="B910" t="inlineStr">
        <is>
          <t>Krongkwun  Rithiwong</t>
        </is>
      </c>
      <c r="C910" s="2">
        <v>45924</v>
      </c>
      <c r="D910" s="2"/>
      <c r="E910" t="inlineStr">
        <is>
          <t>ปกติ</t>
        </is>
      </c>
      <c r="F910" s="3"/>
      <c r="G910"/>
      <c r="H910" t="inlineStr">
        <is>
          <t>Shorts</t>
        </is>
      </c>
      <c r="I910" t="inlineStr">
        <is>
          <t>งานประจำวัน</t>
        </is>
      </c>
      <c r="J910" t="inlineStr">
        <is>
          <t>Done</t>
        </is>
      </c>
      <c r="K910"/>
      <c r="L910" s="3"/>
      <c r="M910" t="inlineStr">
        <is>
          <t>1</t>
        </is>
      </c>
      <c r="N910" t="inlineStr">
        <is>
          <t>Apple</t>
        </is>
      </c>
      <c r="O910"/>
    </row>
    <row r="911" ht="12.75" customHeight="1">
      <c r="A911" t="inlineStr">
        <is>
          <t xml:space="preserve">ย้ำ โปรโมชัน Back to School </t>
        </is>
      </c>
      <c r="B911" t="inlineStr">
        <is>
          <t>Nattida Suriyodara,Sasithakan Sritonthip</t>
        </is>
      </c>
      <c r="C911" s="2">
        <v>45923.764340277776</v>
      </c>
      <c r="D911" s="2"/>
      <c r="E911" t="inlineStr">
        <is>
          <t>ด่วน!</t>
        </is>
      </c>
      <c r="F911" s="3"/>
      <c r="G911"/>
      <c r="H911" t="inlineStr">
        <is>
          <t>Shorts</t>
        </is>
      </c>
      <c r="I911" t="inlineStr">
        <is>
          <t>งานประจำวัน</t>
        </is>
      </c>
      <c r="J911" t="inlineStr">
        <is>
          <t>Done</t>
        </is>
      </c>
      <c r="K911"/>
      <c r="L911" s="3"/>
      <c r="M911" t="inlineStr">
        <is>
          <t>1</t>
        </is>
      </c>
      <c r="N911" t="inlineStr">
        <is>
          <t>Apple</t>
        </is>
      </c>
      <c r="O911"/>
    </row>
    <row r="912" ht="12.75" customHeight="1">
      <c r="A912" t="inlineStr">
        <is>
          <t>iPhone 17 Pro แบตอึดกว่า SS S25 Ultra</t>
        </is>
      </c>
      <c r="B912" t="inlineStr">
        <is>
          <t>Krongkwun  Rithiwong,Sasithakan Sritonthip</t>
        </is>
      </c>
      <c r="C912" s="2">
        <v>45923.39708333334</v>
      </c>
      <c r="D912" s="2"/>
      <c r="E912" t="inlineStr">
        <is>
          <t>ปกติ</t>
        </is>
      </c>
      <c r="F912" s="3" t="str">
        <f>=HYPERLINK("https://www.iphonemod.net/iphone-17-pro-max-beats-samsung-galaxy-s25-ultra-in-battery-life-test.html#google_vignette", "https://www.iphonemod.net/iphone-17-pro-max-beats-samsung-galaxy-s25-ultra-in-battery-life-test.html#google_vignette")</f>
        <v>https://www.iphonemod.net/iphone-17-pro-max-beats-samsung-galaxy-s25-ultra-in-battery-life-test.html#google_vignette</v>
      </c>
      <c r="G912"/>
      <c r="H912" t="inlineStr">
        <is>
          <t>Shorts</t>
        </is>
      </c>
      <c r="I912" t="inlineStr">
        <is>
          <t>งานประจำวัน</t>
        </is>
      </c>
      <c r="J912" t="inlineStr">
        <is>
          <t>Done</t>
        </is>
      </c>
      <c r="K912"/>
      <c r="L912" s="3"/>
      <c r="M912" t="inlineStr">
        <is>
          <t>1</t>
        </is>
      </c>
      <c r="N912" t="inlineStr">
        <is>
          <t>Apple</t>
        </is>
      </c>
      <c r="O912"/>
    </row>
    <row r="913" ht="12.75" customHeight="1">
      <c r="A913" t="inlineStr">
        <is>
          <t xml:space="preserve">รีวิวเต็ม iPhone 17 </t>
        </is>
      </c>
      <c r="B913" t="inlineStr">
        <is>
          <t>Nattida Suriyodara</t>
        </is>
      </c>
      <c r="C913" s="2">
        <v>45923</v>
      </c>
      <c r="D913" s="2"/>
      <c r="E913" t="inlineStr">
        <is>
          <t>ปกติ</t>
        </is>
      </c>
      <c r="F913" s="3"/>
      <c r="G913"/>
      <c r="H913" t="inlineStr">
        <is>
          <t>YouTube</t>
        </is>
      </c>
      <c r="I913" t="inlineStr">
        <is>
          <t>งานประจำวัน</t>
        </is>
      </c>
      <c r="J913" t="inlineStr">
        <is>
          <t>Done</t>
        </is>
      </c>
      <c r="K913"/>
      <c r="L913" s="3"/>
      <c r="M913" t="inlineStr">
        <is>
          <t>1</t>
        </is>
      </c>
      <c r="N913" t="inlineStr">
        <is>
          <t>Apple</t>
        </is>
      </c>
      <c r="O913"/>
    </row>
    <row r="914" ht="12.75" customHeight="1">
      <c r="A914" t="inlineStr">
        <is>
          <t xml:space="preserve">Apple เพิ่มกำลังการผลิต iPhone17 </t>
        </is>
      </c>
      <c r="B914" t="inlineStr">
        <is>
          <t>Krongkwun  Rithiwong</t>
        </is>
      </c>
      <c r="C914" s="2">
        <v>45923</v>
      </c>
      <c r="D914" s="2">
        <v>45924</v>
      </c>
      <c r="E914" t="inlineStr">
        <is>
          <t>ปกติ</t>
        </is>
      </c>
      <c r="F914" s="3"/>
      <c r="G914"/>
      <c r="H914" t="inlineStr">
        <is>
          <t>Shorts</t>
        </is>
      </c>
      <c r="I914" t="inlineStr">
        <is>
          <t>งานประจำวัน</t>
        </is>
      </c>
      <c r="J914" t="inlineStr">
        <is>
          <t>Done</t>
        </is>
      </c>
      <c r="K914"/>
      <c r="L914" s="3"/>
      <c r="M914" t="inlineStr">
        <is>
          <t>1</t>
        </is>
      </c>
      <c r="N914" t="inlineStr">
        <is>
          <t>Apple</t>
        </is>
      </c>
      <c r="O914"/>
    </row>
    <row r="915" ht="12.75" customHeight="1">
      <c r="A915" t="inlineStr">
        <is>
          <t xml:space="preserve">NameDrop  วิธีปิด </t>
        </is>
      </c>
      <c r="B915" t="inlineStr">
        <is>
          <t>Nattida Suriyodara</t>
        </is>
      </c>
      <c r="C915" s="2">
        <v>45923</v>
      </c>
      <c r="D915" s="2"/>
      <c r="E915" t="inlineStr">
        <is>
          <t>ปกติ</t>
        </is>
      </c>
      <c r="F915" s="3"/>
      <c r="G915"/>
      <c r="H915" t="inlineStr">
        <is>
          <t>Shorts</t>
        </is>
      </c>
      <c r="I915" t="inlineStr">
        <is>
          <t>งานประจำวัน</t>
        </is>
      </c>
      <c r="J915" t="inlineStr">
        <is>
          <t>Done</t>
        </is>
      </c>
      <c r="K915"/>
      <c r="L915" s="3"/>
      <c r="M915" t="inlineStr">
        <is>
          <t>1</t>
        </is>
      </c>
      <c r="N915" t="inlineStr">
        <is>
          <t>Apple</t>
        </is>
      </c>
      <c r="O915"/>
    </row>
    <row r="916" ht="12.75" customHeight="1">
      <c r="A916" t="inlineStr">
        <is>
          <t xml:space="preserve">vivo ประกาศวันเปิดตัว X300 พร้อมเผยสเปคสำคัญของรุ่น Pro </t>
        </is>
      </c>
      <c r="B916" t="inlineStr">
        <is>
          <t>Saktaphat Kordjan</t>
        </is>
      </c>
      <c r="C916" s="2">
        <v>45923</v>
      </c>
      <c r="D916" s="2"/>
      <c r="E916" t="inlineStr">
        <is>
          <t>ปกติ</t>
        </is>
      </c>
      <c r="F916" s="3"/>
      <c r="G916"/>
      <c r="H916" t="inlineStr">
        <is>
          <t>Website</t>
        </is>
      </c>
      <c r="I916" t="inlineStr">
        <is>
          <t>งานประจำวัน</t>
        </is>
      </c>
      <c r="J916" t="inlineStr">
        <is>
          <t>Done</t>
        </is>
      </c>
      <c r="K916"/>
      <c r="L916" s="3"/>
      <c r="M916" t="inlineStr">
        <is>
          <t>1</t>
        </is>
      </c>
      <c r="N916" t="inlineStr">
        <is>
          <t>Android</t>
        </is>
      </c>
      <c r="O916"/>
    </row>
    <row r="917" ht="12.75" customHeight="1">
      <c r="A917" t="inlineStr">
        <is>
          <t xml:space="preserve">รีวิวเต็ม iPhone Air </t>
        </is>
      </c>
      <c r="B917" t="inlineStr">
        <is>
          <t>Saktaphat Kordjan</t>
        </is>
      </c>
      <c r="C917" s="2">
        <v>45923</v>
      </c>
      <c r="D917" s="2"/>
      <c r="E917" t="inlineStr">
        <is>
          <t>ปกติ</t>
        </is>
      </c>
      <c r="F917" s="3"/>
      <c r="G917"/>
      <c r="H917" t="inlineStr">
        <is>
          <t>YouTube</t>
        </is>
      </c>
      <c r="I917" t="inlineStr">
        <is>
          <t>เสนอไอเดีย</t>
        </is>
      </c>
      <c r="J917" t="inlineStr">
        <is>
          <t>Done</t>
        </is>
      </c>
      <c r="K917"/>
      <c r="L917" s="3"/>
      <c r="M917" t="inlineStr">
        <is>
          <t>1</t>
        </is>
      </c>
      <c r="N917" t="inlineStr">
        <is>
          <t>Apple</t>
        </is>
      </c>
      <c r="O917"/>
    </row>
    <row r="918" ht="12.75" customHeight="1">
      <c r="A918" t="inlineStr">
        <is>
          <t>Xiaomi ยืนยันวันเปิดตัวและสเปคสำคัญของ 17 Series</t>
        </is>
      </c>
      <c r="B918" t="inlineStr">
        <is>
          <t>Saktaphat Kordjan</t>
        </is>
      </c>
      <c r="C918" s="2">
        <v>45923</v>
      </c>
      <c r="D918" s="2"/>
      <c r="E918" t="inlineStr">
        <is>
          <t>ปกติ</t>
        </is>
      </c>
      <c r="F918" s="3"/>
      <c r="G918"/>
      <c r="H918" t="inlineStr">
        <is>
          <t>Website</t>
        </is>
      </c>
      <c r="I918" t="inlineStr">
        <is>
          <t>งานประจำวัน</t>
        </is>
      </c>
      <c r="J918" t="inlineStr">
        <is>
          <t>Done</t>
        </is>
      </c>
      <c r="K918"/>
      <c r="L918" s="3"/>
      <c r="M918" t="inlineStr">
        <is>
          <t>1</t>
        </is>
      </c>
      <c r="N918" t="inlineStr">
        <is>
          <t>Android</t>
        </is>
      </c>
      <c r="O918"/>
    </row>
    <row r="919" ht="12.75" customHeight="1">
      <c r="A919" t="inlineStr">
        <is>
          <t>ผลทดสอบ1 iPhone 17 Pro Max แบตเตอรี่ Samsung Galaxy S25 Ultra</t>
        </is>
      </c>
      <c r="B919" t="inlineStr">
        <is>
          <t>Krongkwun  Rithiwong,Sasithakan Sritonthip</t>
        </is>
      </c>
      <c r="C919" s="2">
        <v>45922.59855324074</v>
      </c>
      <c r="D919" s="2"/>
      <c r="E919" t="inlineStr">
        <is>
          <t>ปกติ</t>
        </is>
      </c>
      <c r="F919" s="3"/>
      <c r="G919"/>
      <c r="H919" t="inlineStr">
        <is>
          <t>Shorts</t>
        </is>
      </c>
      <c r="I919" t="inlineStr">
        <is>
          <t>งานประจำวัน</t>
        </is>
      </c>
      <c r="J919" t="inlineStr">
        <is>
          <t>Done</t>
        </is>
      </c>
      <c r="K919"/>
      <c r="L919" s="3"/>
      <c r="M919" t="inlineStr">
        <is>
          <t>1</t>
        </is>
      </c>
      <c r="N919" t="inlineStr">
        <is>
          <t>Apple</t>
        </is>
      </c>
      <c r="O919"/>
    </row>
    <row r="920" ht="12.75" customHeight="1">
      <c r="A920" t="inlineStr">
        <is>
          <t>iPhone เป็นรอยง่าย</t>
        </is>
      </c>
      <c r="B920" t="inlineStr">
        <is>
          <t>Krongkwun  Rithiwong</t>
        </is>
      </c>
      <c r="C920" s="2">
        <v>45922.59815972222</v>
      </c>
      <c r="D920" s="2"/>
      <c r="E920" t="inlineStr">
        <is>
          <t>ปกติ</t>
        </is>
      </c>
      <c r="F920" s="3"/>
      <c r="G920"/>
      <c r="H920" t="inlineStr">
        <is>
          <t>Shorts</t>
        </is>
      </c>
      <c r="I920" t="inlineStr">
        <is>
          <t>งานประจำวัน</t>
        </is>
      </c>
      <c r="J920" t="inlineStr">
        <is>
          <t>Done</t>
        </is>
      </c>
      <c r="K920"/>
      <c r="L920" s="3"/>
      <c r="M920" t="inlineStr">
        <is>
          <t>1</t>
        </is>
      </c>
      <c r="N920" t="inlineStr">
        <is>
          <t>Apple</t>
        </is>
      </c>
      <c r="O920"/>
    </row>
    <row r="921" ht="12.75" customHeight="1">
      <c r="A921" t="inlineStr">
        <is>
          <t xml:space="preserve">ฟีเจอร์ใหม่บน GoodNotes 6 </t>
        </is>
      </c>
      <c r="B921" t="inlineStr">
        <is>
          <t>Krongkwun  Rithiwong,Sasithakan Sritonthip</t>
        </is>
      </c>
      <c r="C921" s="2">
        <v>45922.45211805555</v>
      </c>
      <c r="D921" s="2"/>
      <c r="E921" t="inlineStr">
        <is>
          <t>ปกติ</t>
        </is>
      </c>
      <c r="F921" s="3"/>
      <c r="G921"/>
      <c r="H921" t="inlineStr">
        <is>
          <t>Event, Creative</t>
        </is>
      </c>
      <c r="I921" t="inlineStr">
        <is>
          <t>งานลูกค้า</t>
        </is>
      </c>
      <c r="J921" t="inlineStr">
        <is>
          <t>Done</t>
        </is>
      </c>
      <c r="K921"/>
      <c r="L921" s="3"/>
      <c r="M921" t="inlineStr">
        <is>
          <t>1</t>
        </is>
      </c>
      <c r="N921" t="inlineStr">
        <is>
          <t>ลูกค้า</t>
        </is>
      </c>
      <c r="O921" t="inlineStr">
        <is>
          <t>Apple</t>
        </is>
      </c>
    </row>
    <row r="922" ht="12.75" customHeight="1">
      <c r="A922" t="inlineStr">
        <is>
          <t>Always On Display ปิดใช้งานได้มั้ย - iPhone 17</t>
        </is>
      </c>
      <c r="B922" t="inlineStr">
        <is>
          <t>Nattida Suriyodara,Sasithakan Sritonthip</t>
        </is>
      </c>
      <c r="C922" s="2">
        <v>45922</v>
      </c>
      <c r="D922" s="2"/>
      <c r="E922" t="inlineStr">
        <is>
          <t>ปกติ</t>
        </is>
      </c>
      <c r="F922" s="3"/>
      <c r="G922"/>
      <c r="H922" t="inlineStr">
        <is>
          <t>Shorts</t>
        </is>
      </c>
      <c r="I922" t="inlineStr">
        <is>
          <t>งานประจำวัน</t>
        </is>
      </c>
      <c r="J922" t="inlineStr">
        <is>
          <t>Done</t>
        </is>
      </c>
      <c r="K922"/>
      <c r="L922" s="3"/>
      <c r="M922" t="inlineStr">
        <is>
          <t>1</t>
        </is>
      </c>
      <c r="N922" t="inlineStr">
        <is>
          <t>Apple</t>
        </is>
      </c>
      <c r="O922"/>
    </row>
    <row r="923" ht="12.75" customHeight="1">
      <c r="A923" t="inlineStr">
        <is>
          <t xml:space="preserve">iPhone Air แบตเตอรี่อึดกว่า Galaxy S25 Edge แม้แบตเล็กกว่า </t>
        </is>
      </c>
      <c r="B923" t="inlineStr">
        <is>
          <t>Saktaphat Kordjan</t>
        </is>
      </c>
      <c r="C923" s="2">
        <v>45922</v>
      </c>
      <c r="D923" s="2"/>
      <c r="E923" t="inlineStr">
        <is>
          <t>ปกติ</t>
        </is>
      </c>
      <c r="F923" s="3"/>
      <c r="G923"/>
      <c r="H923" t="inlineStr">
        <is>
          <t>Website</t>
        </is>
      </c>
      <c r="I923" t="inlineStr">
        <is>
          <t>งานประจำวัน</t>
        </is>
      </c>
      <c r="J923" t="inlineStr">
        <is>
          <t>Done</t>
        </is>
      </c>
      <c r="K923"/>
      <c r="L923" s="3"/>
      <c r="M923" t="inlineStr">
        <is>
          <t>1</t>
        </is>
      </c>
      <c r="N923" t="inlineStr">
        <is>
          <t>Apple</t>
        </is>
      </c>
      <c r="O923"/>
    </row>
    <row r="924" ht="12.75" customHeight="1">
      <c r="A924" t="inlineStr">
        <is>
          <t xml:space="preserve">ลองใช้กล้องหลัง iPhone Air </t>
        </is>
      </c>
      <c r="B924" t="inlineStr">
        <is>
          <t>Saktaphat Kordjan</t>
        </is>
      </c>
      <c r="C924" s="2">
        <v>45922</v>
      </c>
      <c r="D924" s="2"/>
      <c r="E924" t="inlineStr">
        <is>
          <t>ปกติ</t>
        </is>
      </c>
      <c r="F924" s="3"/>
      <c r="G924"/>
      <c r="H924" t="inlineStr">
        <is>
          <t>Shorts</t>
        </is>
      </c>
      <c r="I924" t="inlineStr">
        <is>
          <t>เสนอไอเดีย</t>
        </is>
      </c>
      <c r="J924" t="inlineStr">
        <is>
          <t>Done</t>
        </is>
      </c>
      <c r="K924"/>
      <c r="L924" s="3"/>
      <c r="M924" t="inlineStr">
        <is>
          <t>1</t>
        </is>
      </c>
      <c r="N924" t="inlineStr">
        <is>
          <t>Apple</t>
        </is>
      </c>
      <c r="O924"/>
    </row>
    <row r="925" ht="12.75" customHeight="1">
      <c r="A925" t="inlineStr">
        <is>
          <t>True 5G เปิดตัวแคมเปญ “Journey to the Future” ต้อนรับ iPhone รุ่นใหม่</t>
        </is>
      </c>
      <c r="B925" t="inlineStr">
        <is>
          <t>Thitirath Kinaret,Sasithakan Sritonthip</t>
        </is>
      </c>
      <c r="C925" s="2">
        <v>45919.61877314815</v>
      </c>
      <c r="D925" s="2"/>
      <c r="E925" t="inlineStr">
        <is>
          <t>ปกติ</t>
        </is>
      </c>
      <c r="F925" s="3"/>
      <c r="G925"/>
      <c r="H925" t="inlineStr">
        <is>
          <t>Website</t>
        </is>
      </c>
      <c r="I925" t="inlineStr">
        <is>
          <t>งานลูกค้า</t>
        </is>
      </c>
      <c r="J925" t="inlineStr">
        <is>
          <t>Done</t>
        </is>
      </c>
      <c r="K925"/>
      <c r="L925" s="3" t="str">
        <f>=HYPERLINK("https://www.iphonemod.net/true-5g-journey-to-the-futurecampaign.html", "https://www.iphonemod.net/true-5g-journey-to-the-futurecampaign.html")</f>
        <v>https://www.iphonemod.net/true-5g-journey-to-the-futurecampaign.html</v>
      </c>
      <c r="M925" t="inlineStr">
        <is>
          <t>1</t>
        </is>
      </c>
      <c r="N925" t="inlineStr">
        <is>
          <t>PR</t>
        </is>
      </c>
      <c r="O925"/>
    </row>
    <row r="926" ht="12.75" customHeight="1">
      <c r="A926" t="inlineStr">
        <is>
          <t>iPhone Air การเล่นเกมบนเครื่องที่บาง วัดความร้อน</t>
        </is>
      </c>
      <c r="B926" t="inlineStr">
        <is>
          <t>Saktaphat Kordjan,Sasithakan Sritonthip</t>
        </is>
      </c>
      <c r="C926" s="2">
        <v>45919.423784722225</v>
      </c>
      <c r="D926" s="2"/>
      <c r="E926" t="inlineStr">
        <is>
          <t>ปกติ</t>
        </is>
      </c>
      <c r="F926" s="3"/>
      <c r="G926"/>
      <c r="H926" t="inlineStr">
        <is>
          <t>Shorts</t>
        </is>
      </c>
      <c r="I926" t="inlineStr">
        <is>
          <t>งานประจำวัน</t>
        </is>
      </c>
      <c r="J926" t="inlineStr">
        <is>
          <t>Done</t>
        </is>
      </c>
      <c r="K926"/>
      <c r="L926" s="3"/>
      <c r="M926" t="inlineStr">
        <is>
          <t>1</t>
        </is>
      </c>
      <c r="N926" t="inlineStr">
        <is>
          <t>Apple</t>
        </is>
      </c>
      <c r="O926"/>
    </row>
    <row r="927" ht="12.75" customHeight="1">
      <c r="A927" t="inlineStr">
        <is>
          <t xml:space="preserve">ฟีเจอร์กล้องใหม่บน iPhone 17 </t>
        </is>
      </c>
      <c r="B927" t="inlineStr">
        <is>
          <t>Thitirath Kinaret,Sasithakan Sritonthip</t>
        </is>
      </c>
      <c r="C927" s="2">
        <v>45919</v>
      </c>
      <c r="D927" s="2"/>
      <c r="E927" t="inlineStr">
        <is>
          <t>ปกติ</t>
        </is>
      </c>
      <c r="F927" s="3" t="str">
        <f>=HYPERLINK("https://www.iphonemod.net/apple-launched-center-stage-and-dual-capture.html", "https://www.iphonemod.net/apple-launched-center-stage-and-dual-capture.html")</f>
        <v>https://www.iphonemod.net/apple-launched-center-stage-and-dual-capture.html</v>
      </c>
      <c r="G927"/>
      <c r="H927" t="inlineStr">
        <is>
          <t>Pic Posts / Album</t>
        </is>
      </c>
      <c r="I927" t="inlineStr">
        <is>
          <t>งานประจำวัน</t>
        </is>
      </c>
      <c r="J927" t="inlineStr">
        <is>
          <t>Done</t>
        </is>
      </c>
      <c r="K927"/>
      <c r="L927" s="3"/>
      <c r="M927" t="inlineStr">
        <is>
          <t>1</t>
        </is>
      </c>
      <c r="N927" t="inlineStr">
        <is>
          <t>Apple</t>
        </is>
      </c>
      <c r="O927"/>
    </row>
    <row r="928" ht="12.75" customHeight="1">
      <c r="A928" t="inlineStr">
        <is>
          <t>เปรียบเทียบ กล้องหน้า iPhone 17 VS iPhone 16</t>
        </is>
      </c>
      <c r="B928" t="inlineStr">
        <is>
          <t>Nattida Suriyodara</t>
        </is>
      </c>
      <c r="C928" s="2">
        <v>45919</v>
      </c>
      <c r="D928" s="2"/>
      <c r="E928" t="inlineStr">
        <is>
          <t>ด่วน!</t>
        </is>
      </c>
      <c r="F928" s="3"/>
      <c r="G928"/>
      <c r="H928" t="inlineStr">
        <is>
          <t>Shorts</t>
        </is>
      </c>
      <c r="I928" t="inlineStr">
        <is>
          <t>งานประจำวัน</t>
        </is>
      </c>
      <c r="J928" t="inlineStr">
        <is>
          <t>Done</t>
        </is>
      </c>
      <c r="K928"/>
      <c r="L928" s="3"/>
      <c r="M928" t="inlineStr">
        <is>
          <t>1</t>
        </is>
      </c>
      <c r="N928" t="inlineStr">
        <is>
          <t>Apple</t>
        </is>
      </c>
      <c r="O928"/>
    </row>
    <row r="929" ht="12.75" customHeight="1">
      <c r="A929" t="inlineStr">
        <is>
          <t>MagSafe สำหรับ iPhone Air ใช้แบตเตอรี่ประเภทเดียวกับตัวเครื่อง</t>
        </is>
      </c>
      <c r="B929" t="inlineStr">
        <is>
          <t>Saktaphat Kordjan</t>
        </is>
      </c>
      <c r="C929" s="2">
        <v>45919</v>
      </c>
      <c r="D929" s="2"/>
      <c r="E929" t="inlineStr">
        <is>
          <t>ปกติ</t>
        </is>
      </c>
      <c r="F929" s="3"/>
      <c r="G929"/>
      <c r="H929" t="inlineStr">
        <is>
          <t>Website</t>
        </is>
      </c>
      <c r="I929" t="inlineStr">
        <is>
          <t>งานประจำวัน</t>
        </is>
      </c>
      <c r="J929" t="inlineStr">
        <is>
          <t>Done</t>
        </is>
      </c>
      <c r="K929"/>
      <c r="L929" s="3"/>
      <c r="M929" t="inlineStr">
        <is>
          <t>1</t>
        </is>
      </c>
      <c r="N929" t="inlineStr">
        <is>
          <t>Apple</t>
        </is>
      </c>
      <c r="O929"/>
    </row>
    <row r="930" ht="12.75" customHeight="1">
      <c r="A930" t="inlineStr">
        <is>
          <t>Nothing Ear (3) การออกแบบดีขึ้น และเปิดตัวฟีเจอร์ Super Mic</t>
        </is>
      </c>
      <c r="B930" t="inlineStr">
        <is>
          <t>Saktaphat Kordjan</t>
        </is>
      </c>
      <c r="C930" s="2">
        <v>45919</v>
      </c>
      <c r="D930" s="2"/>
      <c r="E930" t="inlineStr">
        <is>
          <t>ปกติ</t>
        </is>
      </c>
      <c r="F930" s="3"/>
      <c r="G930"/>
      <c r="H930" t="inlineStr">
        <is>
          <t>Website</t>
        </is>
      </c>
      <c r="I930" t="inlineStr">
        <is>
          <t>งานประจำวัน</t>
        </is>
      </c>
      <c r="J930" t="inlineStr">
        <is>
          <t>Done</t>
        </is>
      </c>
      <c r="K930"/>
      <c r="L930" s="3"/>
      <c r="M930" t="inlineStr">
        <is>
          <t>1</t>
        </is>
      </c>
      <c r="N930" t="inlineStr">
        <is>
          <t>Android</t>
        </is>
      </c>
      <c r="O930"/>
    </row>
    <row r="931" ht="12.75" customHeight="1">
      <c r="A931" t="inlineStr">
        <is>
          <t>พาชมตัวเครื่อง iPhone 17 Series</t>
        </is>
      </c>
      <c r="B931" t="inlineStr">
        <is>
          <t>Sasithakan Sritonthip</t>
        </is>
      </c>
      <c r="C931" s="2">
        <v>45918.63983796296</v>
      </c>
      <c r="D931" s="2"/>
      <c r="E931" t="inlineStr">
        <is>
          <t>ปกติ</t>
        </is>
      </c>
      <c r="F931" s="3"/>
      <c r="G931"/>
      <c r="H931" t="inlineStr">
        <is>
          <t>Website</t>
        </is>
      </c>
      <c r="I931" t="inlineStr">
        <is>
          <t>งานประจำวัน</t>
        </is>
      </c>
      <c r="J931" t="inlineStr">
        <is>
          <t>Done</t>
        </is>
      </c>
      <c r="K931"/>
      <c r="L931" s="3"/>
      <c r="M931" t="inlineStr">
        <is>
          <t>1</t>
        </is>
      </c>
      <c r="N931" t="inlineStr">
        <is>
          <t>Apple</t>
        </is>
      </c>
      <c r="O931"/>
    </row>
    <row r="932" ht="12.75" customHeight="1">
      <c r="A932" t="inlineStr">
        <is>
          <t>Apple ออกอะแดปเตอร์ชาร์จรูปทรงใหม่ ที่มีกำลังไฟสูงถึง 40-60W</t>
        </is>
      </c>
      <c r="B932" t="inlineStr">
        <is>
          <t>Sasithakan Sritonthip</t>
        </is>
      </c>
      <c r="C932" s="2">
        <v>45918.475381944445</v>
      </c>
      <c r="D932" s="2"/>
      <c r="E932" t="inlineStr">
        <is>
          <t>ปกติ</t>
        </is>
      </c>
      <c r="F932" s="3" t="str">
        <f>=HYPERLINK("https://www.macrumors.com/2025/09/17/apple-40w-to-60w-charger-key-advantage/", "https://www.macrumors.com/2025/09/17/apple-40w-to-60w-charger-key-advantage/")</f>
        <v>https://www.macrumors.com/2025/09/17/apple-40w-to-60w-charger-key-advantage/</v>
      </c>
      <c r="G932"/>
      <c r="H932" t="inlineStr">
        <is>
          <t>Website</t>
        </is>
      </c>
      <c r="I932" t="inlineStr">
        <is>
          <t>งานประจำวัน</t>
        </is>
      </c>
      <c r="J932" t="inlineStr">
        <is>
          <t>Done</t>
        </is>
      </c>
      <c r="K932"/>
      <c r="L932" s="3"/>
      <c r="M932" t="inlineStr">
        <is>
          <t>1</t>
        </is>
      </c>
      <c r="N932" t="inlineStr">
        <is>
          <t>Apple</t>
        </is>
      </c>
      <c r="O932"/>
    </row>
    <row r="933" ht="12.75" customHeight="1">
      <c r="A933" t="inlineStr">
        <is>
          <t>Apple อธิบายการทำงานของการแจ้งเตือนความดันโลหิตสูงบน Apple Watch</t>
        </is>
      </c>
      <c r="B933" t="inlineStr">
        <is>
          <t>Sasithakan Sritonthip</t>
        </is>
      </c>
      <c r="C933" s="2">
        <v>45918.3996412037</v>
      </c>
      <c r="D933" s="2"/>
      <c r="E933" t="inlineStr">
        <is>
          <t>ปกติ</t>
        </is>
      </c>
      <c r="F933" s="3" t="str">
        <f>=HYPERLINK("https://www.macrumors.com/2025/09/17/apple-watch-hypertension-alerts/", "https://www.macrumors.com/2025/09/17/apple-watch-hypertension-alerts/")</f>
        <v>https://www.macrumors.com/2025/09/17/apple-watch-hypertension-alerts/</v>
      </c>
      <c r="G933"/>
      <c r="H933" t="inlineStr">
        <is>
          <t>Website</t>
        </is>
      </c>
      <c r="I933" t="inlineStr">
        <is>
          <t>งานประจำวัน</t>
        </is>
      </c>
      <c r="J933" t="inlineStr">
        <is>
          <t>Done</t>
        </is>
      </c>
      <c r="K933"/>
      <c r="L933" s="3"/>
      <c r="M933" t="inlineStr">
        <is>
          <t>1</t>
        </is>
      </c>
      <c r="N933" t="inlineStr">
        <is>
          <t>Apple</t>
        </is>
      </c>
      <c r="O933"/>
    </row>
    <row r="934" ht="12.75" customHeight="1">
      <c r="A934" t="inlineStr">
        <is>
          <t>Apple Vision Pro แก้ไขค่าสายตาบนเลนส์ "Digital PRISM" ได้แล้ว</t>
        </is>
      </c>
      <c r="B934" t="inlineStr">
        <is>
          <t>Sasithakan Sritonthip</t>
        </is>
      </c>
      <c r="C934" s="2">
        <v>45918.39885416667</v>
      </c>
      <c r="D934" s="2"/>
      <c r="E934" t="inlineStr">
        <is>
          <t>ปกติ</t>
        </is>
      </c>
      <c r="F934" s="3" t="str">
        <f>=HYPERLINK("https://9to5mac.com/2025/09/16/apple-vision-pro-gains-support-for-digital-prism-correction/", "https://9to5mac.com/2025/09/16/apple-vision-pro-gains-support-for-digital-prism-correction/")</f>
        <v>https://9to5mac.com/2025/09/16/apple-vision-pro-gains-support-for-digital-prism-correction/</v>
      </c>
      <c r="G934"/>
      <c r="H934" t="inlineStr">
        <is>
          <t>Website</t>
        </is>
      </c>
      <c r="I934" t="inlineStr">
        <is>
          <t>งานประจำวัน</t>
        </is>
      </c>
      <c r="J934" t="inlineStr">
        <is>
          <t>Done</t>
        </is>
      </c>
      <c r="K934"/>
      <c r="L934" s="3"/>
      <c r="M934" t="inlineStr">
        <is>
          <t>1</t>
        </is>
      </c>
      <c r="N934" t="inlineStr">
        <is>
          <t>Apple</t>
        </is>
      </c>
      <c r="O934"/>
    </row>
    <row r="935" ht="12.75" customHeight="1">
      <c r="A935" t="inlineStr">
        <is>
          <t>เทียบดีไซน์ iPhone 17 vs 16</t>
        </is>
      </c>
      <c r="B935" t="inlineStr">
        <is>
          <t>Nattida Suriyodara</t>
        </is>
      </c>
      <c r="C935" s="2">
        <v>45918</v>
      </c>
      <c r="D935" s="2"/>
      <c r="E935" t="inlineStr">
        <is>
          <t xml:space="preserve">ด่วนมาก! </t>
        </is>
      </c>
      <c r="F935" s="3"/>
      <c r="G935"/>
      <c r="H935" t="inlineStr">
        <is>
          <t>Shorts</t>
        </is>
      </c>
      <c r="I935" t="inlineStr">
        <is>
          <t>งานประจำวัน</t>
        </is>
      </c>
      <c r="J935" t="inlineStr">
        <is>
          <t>Done</t>
        </is>
      </c>
      <c r="K935"/>
      <c r="L935" s="3"/>
      <c r="M935" t="inlineStr">
        <is>
          <t>1</t>
        </is>
      </c>
      <c r="N935" t="inlineStr">
        <is>
          <t>Apple</t>
        </is>
      </c>
      <c r="O935"/>
    </row>
    <row r="936" ht="12.75" customHeight="1">
      <c r="A936" t="inlineStr">
        <is>
          <t xml:space="preserve">กล้อง Dual Capture </t>
        </is>
      </c>
      <c r="B936" t="inlineStr">
        <is>
          <t>Nattida Suriyodara</t>
        </is>
      </c>
      <c r="C936" s="2">
        <v>45918</v>
      </c>
      <c r="D936" s="2"/>
      <c r="E936" t="inlineStr">
        <is>
          <t>ด่วน!</t>
        </is>
      </c>
      <c r="F936" s="3"/>
      <c r="G936"/>
      <c r="H936" t="inlineStr">
        <is>
          <t>Shorts</t>
        </is>
      </c>
      <c r="I936" t="inlineStr">
        <is>
          <t>งานประจำวัน</t>
        </is>
      </c>
      <c r="J936" t="inlineStr">
        <is>
          <t>Done</t>
        </is>
      </c>
      <c r="K936"/>
      <c r="L936" s="3"/>
      <c r="M936" t="inlineStr">
        <is>
          <t>1</t>
        </is>
      </c>
      <c r="N936" t="inlineStr">
        <is>
          <t>Apple</t>
        </is>
      </c>
      <c r="O936"/>
    </row>
    <row r="937" ht="12.75" customHeight="1">
      <c r="A937" t="inlineStr">
        <is>
          <t xml:space="preserve">กล้องตัวเดียวบน iPhone Air </t>
        </is>
      </c>
      <c r="B937" t="inlineStr">
        <is>
          <t>Krongkwun  Rithiwong,Saktaphat Kordjan</t>
        </is>
      </c>
      <c r="C937" s="2">
        <v>45918</v>
      </c>
      <c r="D937" s="2"/>
      <c r="E937" t="inlineStr">
        <is>
          <t>ปกติ</t>
        </is>
      </c>
      <c r="F937" s="3"/>
      <c r="G937"/>
      <c r="H937" t="inlineStr">
        <is>
          <t>Shorts</t>
        </is>
      </c>
      <c r="I937" t="inlineStr">
        <is>
          <t>เสนอไอเดีย</t>
        </is>
      </c>
      <c r="J937" t="inlineStr">
        <is>
          <t>Done</t>
        </is>
      </c>
      <c r="K937"/>
      <c r="L937" s="3"/>
      <c r="M937" t="inlineStr">
        <is>
          <t>1</t>
        </is>
      </c>
      <c r="N937" t="inlineStr">
        <is>
          <t>Apple</t>
        </is>
      </c>
      <c r="O937"/>
    </row>
    <row r="938" ht="12.75" customHeight="1">
      <c r="A938" t="inlineStr">
        <is>
          <t>Project Moohan เลื่อนเปิดตัว แต่จอพับสามทบอาจมาในเร็ว ๆ นี้</t>
        </is>
      </c>
      <c r="B938" t="inlineStr">
        <is>
          <t>Saktaphat Kordjan</t>
        </is>
      </c>
      <c r="C938" s="2">
        <v>45918</v>
      </c>
      <c r="D938" s="2"/>
      <c r="E938" t="inlineStr">
        <is>
          <t>ปกติ</t>
        </is>
      </c>
      <c r="F938" s="3"/>
      <c r="G938"/>
      <c r="H938" t="inlineStr">
        <is>
          <t>Website</t>
        </is>
      </c>
      <c r="I938" t="inlineStr">
        <is>
          <t>งานประจำวัน</t>
        </is>
      </c>
      <c r="J938" t="inlineStr">
        <is>
          <t>Done</t>
        </is>
      </c>
      <c r="K938"/>
      <c r="L938" s="3"/>
      <c r="M938" t="inlineStr">
        <is>
          <t>1</t>
        </is>
      </c>
      <c r="N938" t="inlineStr">
        <is>
          <t>Android, Tech</t>
        </is>
      </c>
      <c r="O938"/>
    </row>
    <row r="939" ht="12.75" customHeight="1">
      <c r="A939" t="inlineStr">
        <is>
          <t>กล้องหน้า iPhone 17 Center Stage</t>
        </is>
      </c>
      <c r="B939" t="inlineStr">
        <is>
          <t>Nattida Suriyodara,Sasithakan Sritonthip</t>
        </is>
      </c>
      <c r="C939" s="2">
        <v>45917.75675925926</v>
      </c>
      <c r="D939" s="2"/>
      <c r="E939" t="inlineStr">
        <is>
          <t>ด่วน!</t>
        </is>
      </c>
      <c r="F939" s="3"/>
      <c r="G939"/>
      <c r="H939" t="inlineStr">
        <is>
          <t>Shorts</t>
        </is>
      </c>
      <c r="I939" t="inlineStr">
        <is>
          <t>งานประจำวัน</t>
        </is>
      </c>
      <c r="J939" t="inlineStr">
        <is>
          <t>Done</t>
        </is>
      </c>
      <c r="K939"/>
      <c r="L939" s="3"/>
      <c r="M939" t="inlineStr">
        <is>
          <t>1</t>
        </is>
      </c>
      <c r="N939" t="inlineStr">
        <is>
          <t>Apple</t>
        </is>
      </c>
      <c r="O939"/>
    </row>
    <row r="940" ht="12.75" customHeight="1">
      <c r="A940" t="inlineStr">
        <is>
          <t>macOS Tahoe เปิดตัว Recovery Assistant ตัวใหม่</t>
        </is>
      </c>
      <c r="B940" t="inlineStr">
        <is>
          <t>Sasithakan Sritonthip</t>
        </is>
      </c>
      <c r="C940" s="2">
        <v>45917.46331018519</v>
      </c>
      <c r="D940" s="2"/>
      <c r="E940" t="inlineStr">
        <is>
          <t>ปกติ</t>
        </is>
      </c>
      <c r="F940" s="3" t="str">
        <f>=HYPERLINK("https://www.macrumors.com/2025/09/16/macos-tahoe-recovery-assistant/", "https://www.macrumors.com/2025/09/16/macos-tahoe-recovery-assistant/")</f>
        <v>https://www.macrumors.com/2025/09/16/macos-tahoe-recovery-assistant/</v>
      </c>
      <c r="G940"/>
      <c r="H940" t="inlineStr">
        <is>
          <t>Website</t>
        </is>
      </c>
      <c r="I940" t="inlineStr">
        <is>
          <t>งานประจำวัน</t>
        </is>
      </c>
      <c r="J940" t="inlineStr">
        <is>
          <t>Done</t>
        </is>
      </c>
      <c r="K940"/>
      <c r="L940" s="3"/>
      <c r="M940" t="inlineStr">
        <is>
          <t>1</t>
        </is>
      </c>
      <c r="N940" t="inlineStr">
        <is>
          <t>Apple</t>
        </is>
      </c>
      <c r="O940"/>
    </row>
    <row r="941" ht="12.75" customHeight="1">
      <c r="A941" t="inlineStr">
        <is>
          <t>watchOS 26 เตือนชาร์จช้า</t>
        </is>
      </c>
      <c r="B941" t="inlineStr">
        <is>
          <t>Nattida Suriyodara</t>
        </is>
      </c>
      <c r="C941" s="2">
        <v>45917</v>
      </c>
      <c r="D941" s="2"/>
      <c r="E941" t="inlineStr">
        <is>
          <t>ปกติ</t>
        </is>
      </c>
      <c r="F941" s="3"/>
      <c r="G941"/>
      <c r="H941" t="inlineStr">
        <is>
          <t>Website</t>
        </is>
      </c>
      <c r="I941" t="inlineStr">
        <is>
          <t>งานประจำวัน</t>
        </is>
      </c>
      <c r="J941" t="inlineStr">
        <is>
          <t>Done</t>
        </is>
      </c>
      <c r="K941"/>
      <c r="L941" s="3"/>
      <c r="M941" t="inlineStr">
        <is>
          <t>1</t>
        </is>
      </c>
      <c r="N941" t="inlineStr">
        <is>
          <t>Apple</t>
        </is>
      </c>
      <c r="O941"/>
    </row>
    <row r="942" ht="12.75" customHeight="1">
      <c r="A942" t="inlineStr">
        <is>
          <t>รอ iPhone 17 - Tie in Max Guard</t>
        </is>
      </c>
      <c r="B942" t="inlineStr">
        <is>
          <t>Nattida Suriyodara</t>
        </is>
      </c>
      <c r="C942" s="2">
        <v>45917</v>
      </c>
      <c r="D942" s="2"/>
      <c r="E942" t="inlineStr">
        <is>
          <t>ปกติ</t>
        </is>
      </c>
      <c r="F942" s="3"/>
      <c r="G942"/>
      <c r="H942" t="inlineStr">
        <is>
          <t>Shorts</t>
        </is>
      </c>
      <c r="I942" t="inlineStr">
        <is>
          <t>งานประจำวัน</t>
        </is>
      </c>
      <c r="J942" t="inlineStr">
        <is>
          <t>Done</t>
        </is>
      </c>
      <c r="K942"/>
      <c r="L942" s="3"/>
      <c r="M942" t="inlineStr">
        <is>
          <t>1</t>
        </is>
      </c>
      <c r="N942" t="inlineStr">
        <is>
          <t>PR</t>
        </is>
      </c>
      <c r="O942"/>
    </row>
    <row r="943" ht="12.75" customHeight="1">
      <c r="A943" t="inlineStr">
        <is>
          <t>หลุดภาพเคส Samsung Galaxy S26 Ultra</t>
        </is>
      </c>
      <c r="B943" t="inlineStr">
        <is>
          <t>Saktaphat Kordjan</t>
        </is>
      </c>
      <c r="C943" s="2">
        <v>45917</v>
      </c>
      <c r="D943" s="2"/>
      <c r="E943" t="inlineStr">
        <is>
          <t>ปกติ</t>
        </is>
      </c>
      <c r="F943" s="3"/>
      <c r="G943"/>
      <c r="H943" t="inlineStr">
        <is>
          <t>Website</t>
        </is>
      </c>
      <c r="I943" t="inlineStr">
        <is>
          <t>งานประจำวัน</t>
        </is>
      </c>
      <c r="J943" t="inlineStr">
        <is>
          <t>Done</t>
        </is>
      </c>
      <c r="K943"/>
      <c r="L943" s="3"/>
      <c r="M943" t="inlineStr">
        <is>
          <t>1</t>
        </is>
      </c>
      <c r="N943" t="inlineStr">
        <is>
          <t>Android</t>
        </is>
      </c>
      <c r="O943"/>
    </row>
    <row r="944" ht="12.75" customHeight="1">
      <c r="A944" t="inlineStr">
        <is>
          <t xml:space="preserve">MediaTek ยืนยัน วันเปิดตัว Dimensity 9500 ใกล้เข้ามาแล้ว </t>
        </is>
      </c>
      <c r="B944" t="inlineStr">
        <is>
          <t>Saktaphat Kordjan</t>
        </is>
      </c>
      <c r="C944" s="2">
        <v>45917</v>
      </c>
      <c r="D944" s="2"/>
      <c r="E944" t="inlineStr">
        <is>
          <t>ปกติ</t>
        </is>
      </c>
      <c r="F944" s="3"/>
      <c r="G944"/>
      <c r="H944" t="inlineStr">
        <is>
          <t>Website</t>
        </is>
      </c>
      <c r="I944" t="inlineStr">
        <is>
          <t>งานประจำวัน</t>
        </is>
      </c>
      <c r="J944" t="inlineStr">
        <is>
          <t>Done</t>
        </is>
      </c>
      <c r="K944"/>
      <c r="L944" s="3"/>
      <c r="M944" t="inlineStr">
        <is>
          <t>1</t>
        </is>
      </c>
      <c r="N944" t="inlineStr">
        <is>
          <t>Tech, Android</t>
        </is>
      </c>
      <c r="O944"/>
    </row>
    <row r="945" ht="12.75" customHeight="1">
      <c r="A945" t="inlineStr">
        <is>
          <t xml:space="preserve">แป้นพิมพ์ไทย 24 ปุ่ม </t>
        </is>
      </c>
      <c r="B945" t="inlineStr">
        <is>
          <t>Saktaphat Kordjan</t>
        </is>
      </c>
      <c r="C945" s="2">
        <v>45917</v>
      </c>
      <c r="D945" s="2"/>
      <c r="E945" t="inlineStr">
        <is>
          <t>ปกติ</t>
        </is>
      </c>
      <c r="F945" s="3"/>
      <c r="G945"/>
      <c r="H945" t="inlineStr">
        <is>
          <t>Shorts</t>
        </is>
      </c>
      <c r="I945" t="inlineStr">
        <is>
          <t>เสนอไอเดีย</t>
        </is>
      </c>
      <c r="J945" t="inlineStr">
        <is>
          <t>Done</t>
        </is>
      </c>
      <c r="K945"/>
      <c r="L945" s="3"/>
      <c r="M945" t="inlineStr">
        <is>
          <t>1</t>
        </is>
      </c>
      <c r="N945" t="inlineStr">
        <is>
          <t>Apple</t>
        </is>
      </c>
      <c r="O945"/>
    </row>
    <row r="946" ht="12.75" customHeight="1">
      <c r="A946" t="inlineStr">
        <is>
          <t>พาชมตัวเครื่อง เทียบความหนากับ iPhone 6s</t>
        </is>
      </c>
      <c r="B946" t="inlineStr">
        <is>
          <t>Saktaphat Kordjan,Krongkwun  Rithiwong</t>
        </is>
      </c>
      <c r="C946" s="2">
        <v>45917</v>
      </c>
      <c r="D946" s="2"/>
      <c r="E946" t="inlineStr">
        <is>
          <t>ปกติ</t>
        </is>
      </c>
      <c r="F946" s="3"/>
      <c r="G946"/>
      <c r="H946" t="inlineStr">
        <is>
          <t>Shorts</t>
        </is>
      </c>
      <c r="I946" t="inlineStr">
        <is>
          <t>งานประจำวัน</t>
        </is>
      </c>
      <c r="J946" t="inlineStr">
        <is>
          <t>Done</t>
        </is>
      </c>
      <c r="K946"/>
      <c r="L946" s="3"/>
      <c r="M946" t="inlineStr">
        <is>
          <t>1</t>
        </is>
      </c>
      <c r="N946" t="inlineStr">
        <is>
          <t>Apple</t>
        </is>
      </c>
      <c r="O946"/>
    </row>
    <row r="947" ht="12.75" customHeight="1">
      <c r="A947" t="inlineStr">
        <is>
          <t>ปล่อยอัปเดต OS26</t>
        </is>
      </c>
      <c r="B947" t="inlineStr">
        <is>
          <t>Nattida Suriyodara,Sasithakan Sritonthip</t>
        </is>
      </c>
      <c r="C947" s="2">
        <v>45916.71758101852</v>
      </c>
      <c r="D947" s="2"/>
      <c r="E947" t="inlineStr">
        <is>
          <t>ปกติ</t>
        </is>
      </c>
      <c r="F947" s="3"/>
      <c r="G947"/>
      <c r="H947" t="inlineStr">
        <is>
          <t>Shorts</t>
        </is>
      </c>
      <c r="I947" t="inlineStr">
        <is>
          <t>งานประจำวัน</t>
        </is>
      </c>
      <c r="J947" t="inlineStr">
        <is>
          <t>Done</t>
        </is>
      </c>
      <c r="K947"/>
      <c r="L947" s="3"/>
      <c r="M947" t="inlineStr">
        <is>
          <t>1</t>
        </is>
      </c>
      <c r="N947" t="inlineStr">
        <is>
          <t>Apple</t>
        </is>
      </c>
      <c r="O947"/>
    </row>
    <row r="948" ht="12.75" customHeight="1">
      <c r="A948" t="inlineStr">
        <is>
          <t>เสียงแจ้งเตือนใหม่ของ iOS 26</t>
        </is>
      </c>
      <c r="B948" t="inlineStr">
        <is>
          <t>Sasithakan Sritonthip</t>
        </is>
      </c>
      <c r="C948" s="2">
        <v>45916</v>
      </c>
      <c r="D948" s="2"/>
      <c r="E948" t="inlineStr">
        <is>
          <t>ปกติ</t>
        </is>
      </c>
      <c r="F948" s="3" t="str">
        <f>=HYPERLINK("https://www.macrumors.com/how-to/new-iphone-ringtones-ios-26/", "https://www.macrumors.com/how-to/new-iphone-ringtones-ios-26/")</f>
        <v>https://www.macrumors.com/how-to/new-iphone-ringtones-ios-26/</v>
      </c>
      <c r="G948"/>
      <c r="H948" t="inlineStr">
        <is>
          <t>Website</t>
        </is>
      </c>
      <c r="I948" t="inlineStr">
        <is>
          <t>งานประจำวัน</t>
        </is>
      </c>
      <c r="J948" t="inlineStr">
        <is>
          <t>Done</t>
        </is>
      </c>
      <c r="K948"/>
      <c r="L948" s="3"/>
      <c r="M948" t="inlineStr">
        <is>
          <t>1</t>
        </is>
      </c>
      <c r="N948" t="inlineStr">
        <is>
          <t>Apple</t>
        </is>
      </c>
      <c r="O948"/>
    </row>
    <row r="949" ht="12.75" customHeight="1">
      <c r="A949" t="inlineStr">
        <is>
          <t xml:space="preserve">Widgy Widget </t>
        </is>
      </c>
      <c r="B949" t="inlineStr">
        <is>
          <t>Saktaphat Kordjan,Sasithakan Sritonthip</t>
        </is>
      </c>
      <c r="C949" s="2">
        <v>45916</v>
      </c>
      <c r="D949" s="2"/>
      <c r="E949" t="inlineStr">
        <is>
          <t>ปกติ</t>
        </is>
      </c>
      <c r="F949" s="3"/>
      <c r="G949"/>
      <c r="H949" t="inlineStr">
        <is>
          <t>Shorts</t>
        </is>
      </c>
      <c r="I949" t="inlineStr">
        <is>
          <t>งานประจำวัน</t>
        </is>
      </c>
      <c r="J949" t="inlineStr">
        <is>
          <t>Done</t>
        </is>
      </c>
      <c r="K949"/>
      <c r="L949" s="3"/>
      <c r="M949" t="inlineStr">
        <is>
          <t>1</t>
        </is>
      </c>
      <c r="N949" t="inlineStr">
        <is>
          <t>Apple</t>
        </is>
      </c>
      <c r="O949"/>
    </row>
    <row r="950" ht="12.75" customHeight="1">
      <c r="A950" t="inlineStr">
        <is>
          <t>เผยภาพ Xiaomi 17 Pro Max  จะมาพร้อมจอด้านหลัง</t>
        </is>
      </c>
      <c r="B950" t="inlineStr">
        <is>
          <t>Saktaphat Kordjan</t>
        </is>
      </c>
      <c r="C950" s="2">
        <v>45916</v>
      </c>
      <c r="D950" s="2"/>
      <c r="E950" t="inlineStr">
        <is>
          <t>ปกติ</t>
        </is>
      </c>
      <c r="F950" s="3"/>
      <c r="G950"/>
      <c r="H950" t="inlineStr">
        <is>
          <t>Website</t>
        </is>
      </c>
      <c r="I950" t="inlineStr">
        <is>
          <t>งานประจำวัน</t>
        </is>
      </c>
      <c r="J950" t="inlineStr">
        <is>
          <t>Done</t>
        </is>
      </c>
      <c r="K950"/>
      <c r="L950" s="3"/>
      <c r="M950" t="inlineStr">
        <is>
          <t>1</t>
        </is>
      </c>
      <c r="N950" t="inlineStr">
        <is>
          <t>Android</t>
        </is>
      </c>
      <c r="O950"/>
    </row>
    <row r="951" ht="12.75" customHeight="1">
      <c r="A951" t="inlineStr">
        <is>
          <t xml:space="preserve">พาชม+สอนใช้ฟีเจอร์บน iPadOS 26 </t>
        </is>
      </c>
      <c r="B951" t="inlineStr">
        <is>
          <t>Nattida Suriyodara</t>
        </is>
      </c>
      <c r="C951" s="2">
        <v>45916</v>
      </c>
      <c r="D951" s="2"/>
      <c r="E951" t="inlineStr">
        <is>
          <t>ปกติ</t>
        </is>
      </c>
      <c r="F951" s="3"/>
      <c r="G951"/>
      <c r="H951" t="inlineStr">
        <is>
          <t>YouTube</t>
        </is>
      </c>
      <c r="I951" t="inlineStr">
        <is>
          <t>งานประจำวัน</t>
        </is>
      </c>
      <c r="J951" t="inlineStr">
        <is>
          <t>Done</t>
        </is>
      </c>
      <c r="K951"/>
      <c r="L951" s="3"/>
      <c r="M951" t="inlineStr">
        <is>
          <t>1</t>
        </is>
      </c>
      <c r="N951" t="inlineStr">
        <is>
          <t>Apple</t>
        </is>
      </c>
      <c r="O951"/>
    </row>
    <row r="952" ht="12.75" customHeight="1">
      <c r="A952" t="inlineStr">
        <is>
          <t>True Dtac 5G จัดโปรข้ามเวลา: สิทธิพิเศษอัปเกรด iPhone 17 ได้จริงโดยไม่ต้องลุ้น</t>
        </is>
      </c>
      <c r="B952" t="inlineStr">
        <is>
          <t>Sasithakan Sritonthip</t>
        </is>
      </c>
      <c r="C952" s="2">
        <v>45916</v>
      </c>
      <c r="D952" s="2"/>
      <c r="E952" t="inlineStr">
        <is>
          <t>ปกติ</t>
        </is>
      </c>
      <c r="F952" s="3" t="str">
        <f>=HYPERLINK("https://deal.true.th/apple/iphone-17.html", "https://deal.true.th/apple/iphone-17.html")</f>
        <v>https://deal.true.th/apple/iphone-17.html</v>
      </c>
      <c r="G952"/>
      <c r="H952" t="inlineStr">
        <is>
          <t>Website</t>
        </is>
      </c>
      <c r="I952" t="inlineStr">
        <is>
          <t>งานลูกค้า</t>
        </is>
      </c>
      <c r="J952" t="inlineStr">
        <is>
          <t>Done</t>
        </is>
      </c>
      <c r="K952"/>
      <c r="L952" s="3"/>
      <c r="M952" t="inlineStr">
        <is>
          <t>1</t>
        </is>
      </c>
      <c r="N952" t="inlineStr">
        <is>
          <t>ลูกค้า</t>
        </is>
      </c>
      <c r="O952" t="inlineStr">
        <is>
          <t>True DTAC</t>
        </is>
      </c>
    </row>
    <row r="953" ht="12.75" customHeight="1">
      <c r="A953" t="inlineStr">
        <is>
          <t>iPhone 17 Series มาตั้งค่าพร้อมใช้ Adaptive Power Mode โดยอัตโนมัติแล้ว</t>
        </is>
      </c>
      <c r="B953" t="inlineStr">
        <is>
          <t>Sasithakan Sritonthip</t>
        </is>
      </c>
      <c r="C953" s="2">
        <v>45916</v>
      </c>
      <c r="D953" s="2"/>
      <c r="E953" t="inlineStr">
        <is>
          <t>ปกติ</t>
        </is>
      </c>
      <c r="F953" s="3" t="str">
        <f>=HYPERLINK("https://www.macrumors.com/2025/09/15/iphone-17-adaptive-power/", "https://www.macrumors.com/2025/09/15/iphone-17-adaptive-power/")</f>
        <v>https://www.macrumors.com/2025/09/15/iphone-17-adaptive-power/</v>
      </c>
      <c r="G953"/>
      <c r="H953" t="inlineStr">
        <is>
          <t>Website</t>
        </is>
      </c>
      <c r="I953" t="inlineStr">
        <is>
          <t>งานประจำวัน</t>
        </is>
      </c>
      <c r="J953" t="inlineStr">
        <is>
          <t>Done</t>
        </is>
      </c>
      <c r="K953"/>
      <c r="L953" s="3"/>
      <c r="M953" t="inlineStr">
        <is>
          <t>1</t>
        </is>
      </c>
      <c r="N953" t="inlineStr">
        <is>
          <t>Apple</t>
        </is>
      </c>
      <c r="O953"/>
    </row>
    <row r="954" ht="12.75" customHeight="1">
      <c r="A954" t="inlineStr">
        <is>
          <t>เปรียบเทียบ Apple Watch Ultra 2 กับ Ultra 3</t>
        </is>
      </c>
      <c r="B954" t="inlineStr">
        <is>
          <t>Nattida Suriyodara</t>
        </is>
      </c>
      <c r="C954" s="2">
        <v>45916</v>
      </c>
      <c r="D954" s="2"/>
      <c r="E954" t="inlineStr">
        <is>
          <t>ปกติ</t>
        </is>
      </c>
      <c r="F954" s="3" t="str">
        <f>=HYPERLINK("https://www.macrumors.com/guide/apple-watch-ultra-2-vs-ultra-3/", "https://www.macrumors.com/guide/apple-watch-ultra-2-vs-ultra-3/")</f>
        <v>https://www.macrumors.com/guide/apple-watch-ultra-2-vs-ultra-3/</v>
      </c>
      <c r="G954"/>
      <c r="H954" t="inlineStr">
        <is>
          <t>Website</t>
        </is>
      </c>
      <c r="I954" t="inlineStr">
        <is>
          <t>งานประจำวัน</t>
        </is>
      </c>
      <c r="J954" t="inlineStr">
        <is>
          <t>Done</t>
        </is>
      </c>
      <c r="K954"/>
      <c r="L954" s="3"/>
      <c r="M954" t="inlineStr">
        <is>
          <t>1</t>
        </is>
      </c>
      <c r="N954" t="inlineStr">
        <is>
          <t>Apple</t>
        </is>
      </c>
      <c r="O954"/>
    </row>
    <row r="955" ht="12.75" customHeight="1">
      <c r="A955" t="inlineStr">
        <is>
          <t>Oppo เผยตัวอย่างภาพจากกล้อง 200MP ของ Find X9 Pro</t>
        </is>
      </c>
      <c r="B955" t="inlineStr">
        <is>
          <t>Saktaphat Kordjan</t>
        </is>
      </c>
      <c r="C955" s="2">
        <v>45916</v>
      </c>
      <c r="D955" s="2"/>
      <c r="E955" t="inlineStr">
        <is>
          <t>ปกติ</t>
        </is>
      </c>
      <c r="F955" s="3"/>
      <c r="G955"/>
      <c r="H955" t="inlineStr">
        <is>
          <t>Website</t>
        </is>
      </c>
      <c r="I955" t="inlineStr">
        <is>
          <t>งานประจำวัน</t>
        </is>
      </c>
      <c r="J955" t="inlineStr">
        <is>
          <t>Done</t>
        </is>
      </c>
      <c r="K955"/>
      <c r="L955" s="3"/>
      <c r="M955" t="inlineStr">
        <is>
          <t>1</t>
        </is>
      </c>
      <c r="N955" t="inlineStr">
        <is>
          <t>Android</t>
        </is>
      </c>
      <c r="O955"/>
    </row>
    <row r="956" ht="12.75" customHeight="1">
      <c r="A956" t="inlineStr">
        <is>
          <t xml:space="preserve">คืนนี้มาแน่ iOS 26 </t>
        </is>
      </c>
      <c r="B956" t="inlineStr">
        <is>
          <t>Nattida Suriyodara,Sasithakan Sritonthip</t>
        </is>
      </c>
      <c r="C956" s="2">
        <v>45915</v>
      </c>
      <c r="D956" s="2"/>
      <c r="E956" t="inlineStr">
        <is>
          <t>ด่วน!</t>
        </is>
      </c>
      <c r="F956" s="3" t="str">
        <f>=HYPERLINK("https://www.facebook.com/share/p/1Fwpv4NM8N/", "https://www.facebook.com/share/p/1Fwpv4NM8N/")</f>
        <v>https://www.facebook.com/share/p/1Fwpv4NM8N/</v>
      </c>
      <c r="G956"/>
      <c r="H956" t="inlineStr">
        <is>
          <t>Shorts</t>
        </is>
      </c>
      <c r="I956" t="inlineStr">
        <is>
          <t>งานประจำวัน</t>
        </is>
      </c>
      <c r="J956" t="inlineStr">
        <is>
          <t>Done</t>
        </is>
      </c>
      <c r="K956"/>
      <c r="L956" s="3"/>
      <c r="M956" t="inlineStr">
        <is>
          <t>1</t>
        </is>
      </c>
      <c r="N956" t="inlineStr">
        <is>
          <t>Apple</t>
        </is>
      </c>
      <c r="O956"/>
    </row>
    <row r="957" ht="12.75" customHeight="1">
      <c r="A957" t="inlineStr">
        <is>
          <t>Apple Watch รุ่นใหม่เหมาะกับใคร</t>
        </is>
      </c>
      <c r="B957" t="inlineStr">
        <is>
          <t>Nattida Suriyodara</t>
        </is>
      </c>
      <c r="C957" s="2">
        <v>45915</v>
      </c>
      <c r="D957" s="2"/>
      <c r="E957" t="inlineStr">
        <is>
          <t>ปกติ</t>
        </is>
      </c>
      <c r="F957" s="3"/>
      <c r="G957"/>
      <c r="H957" t="inlineStr">
        <is>
          <t>Shorts</t>
        </is>
      </c>
      <c r="I957" t="inlineStr">
        <is>
          <t>งานประจำวัน</t>
        </is>
      </c>
      <c r="J957" t="inlineStr">
        <is>
          <t>Done</t>
        </is>
      </c>
      <c r="K957" t="inlineStr">
        <is>
          <t>ตัดเฉพาะซีนสำคัญ</t>
        </is>
      </c>
      <c r="L957" s="3"/>
      <c r="M957" t="inlineStr">
        <is>
          <t>1</t>
        </is>
      </c>
      <c r="N957" t="inlineStr">
        <is>
          <t>Apple</t>
        </is>
      </c>
      <c r="O957"/>
    </row>
    <row r="958" ht="12.75" customHeight="1">
      <c r="A958" t="inlineStr">
        <is>
          <t>BOE ประกาศเปิดตัวจอ IPS LCD ใหม่ที่น่าประทับใจสำหรับสมาร์ตโฟน</t>
        </is>
      </c>
      <c r="B958" t="inlineStr">
        <is>
          <t>Saktaphat Kordjan</t>
        </is>
      </c>
      <c r="C958" s="2">
        <v>45915</v>
      </c>
      <c r="D958" s="2"/>
      <c r="E958" t="inlineStr">
        <is>
          <t>ปกติ</t>
        </is>
      </c>
      <c r="F958" s="3"/>
      <c r="G958"/>
      <c r="H958" t="inlineStr">
        <is>
          <t>Website</t>
        </is>
      </c>
      <c r="I958" t="inlineStr">
        <is>
          <t>งานประจำวัน</t>
        </is>
      </c>
      <c r="J958" t="inlineStr">
        <is>
          <t>Done</t>
        </is>
      </c>
      <c r="K958"/>
      <c r="L958" s="3"/>
      <c r="M958" t="inlineStr">
        <is>
          <t>1</t>
        </is>
      </c>
      <c r="N958" t="inlineStr">
        <is>
          <t>Tech</t>
        </is>
      </c>
      <c r="O958"/>
    </row>
    <row r="959" ht="12.75" customHeight="1">
      <c r="A959" t="inlineStr">
        <is>
          <t>iPadOS 26</t>
        </is>
      </c>
      <c r="B959" t="inlineStr">
        <is>
          <t>Sasithakan Sritonthip</t>
        </is>
      </c>
      <c r="C959" s="2">
        <v>45915</v>
      </c>
      <c r="D959" s="2"/>
      <c r="E959" t="inlineStr">
        <is>
          <t>ด่วน!</t>
        </is>
      </c>
      <c r="F959" s="3"/>
      <c r="G959"/>
      <c r="H959" t="inlineStr">
        <is>
          <t>Website</t>
        </is>
      </c>
      <c r="I959" t="inlineStr">
        <is>
          <t>งานประจำวัน</t>
        </is>
      </c>
      <c r="J959" t="inlineStr">
        <is>
          <t>Done</t>
        </is>
      </c>
      <c r="K959" t="inlineStr">
        <is>
          <t>ดราฟต์ไว้ก่อน</t>
        </is>
      </c>
      <c r="L959" s="3"/>
      <c r="M959" t="inlineStr">
        <is>
          <t>1</t>
        </is>
      </c>
      <c r="N959" t="inlineStr">
        <is>
          <t>Apple</t>
        </is>
      </c>
      <c r="O959"/>
    </row>
    <row r="960" ht="12.75" customHeight="1">
      <c r="A960" t="inlineStr">
        <is>
          <t>watchOS 26</t>
        </is>
      </c>
      <c r="B960" t="inlineStr">
        <is>
          <t>Nattida Suriyodara</t>
        </is>
      </c>
      <c r="C960" s="2">
        <v>45915</v>
      </c>
      <c r="D960" s="2"/>
      <c r="E960" t="inlineStr">
        <is>
          <t>ด่วน!</t>
        </is>
      </c>
      <c r="F960" s="3"/>
      <c r="G960"/>
      <c r="H960" t="inlineStr">
        <is>
          <t>Website</t>
        </is>
      </c>
      <c r="I960" t="inlineStr">
        <is>
          <t>งานประจำวัน</t>
        </is>
      </c>
      <c r="J960" t="inlineStr">
        <is>
          <t>Done</t>
        </is>
      </c>
      <c r="K960"/>
      <c r="L960" s="3"/>
      <c r="M960" t="inlineStr">
        <is>
          <t>1</t>
        </is>
      </c>
      <c r="N960" t="inlineStr">
        <is>
          <t>Apple</t>
        </is>
      </c>
      <c r="O960"/>
    </row>
    <row r="961" ht="12.75" customHeight="1">
      <c r="A961" t="inlineStr">
        <is>
          <t xml:space="preserve">PR-Ture Branding </t>
        </is>
      </c>
      <c r="B961" t="inlineStr">
        <is>
          <t>Nattida Suriyodara</t>
        </is>
      </c>
      <c r="C961" s="2">
        <v>45915</v>
      </c>
      <c r="D961" s="2"/>
      <c r="E961" t="inlineStr">
        <is>
          <t>ด่วน!</t>
        </is>
      </c>
      <c r="F961" s="3"/>
      <c r="G961"/>
      <c r="H961" t="inlineStr">
        <is>
          <t>Website</t>
        </is>
      </c>
      <c r="I961" t="inlineStr">
        <is>
          <t>งานลูกค้า</t>
        </is>
      </c>
      <c r="J961" t="inlineStr">
        <is>
          <t>Done</t>
        </is>
      </c>
      <c r="K961"/>
      <c r="L961" s="3"/>
      <c r="M961" t="inlineStr">
        <is>
          <t>1</t>
        </is>
      </c>
      <c r="N961" t="inlineStr">
        <is>
          <t>PR</t>
        </is>
      </c>
      <c r="O961" t="inlineStr">
        <is>
          <t>True DTAC</t>
        </is>
      </c>
    </row>
    <row r="962" ht="12.75" customHeight="1">
      <c r="A962" t="inlineStr">
        <is>
          <t>ราคาซ่อม iPhone 17 ทุกรุ่น ซ่อมจอ กระจกหลัง เปลี่ยนแบต เปลี่ยนเครื่อง ที่ Apple (ก.ย. 68)
</t>
        </is>
      </c>
      <c r="B962" t="inlineStr">
        <is>
          <t>Thitirath Kinaret</t>
        </is>
      </c>
      <c r="C962" s="2">
        <v>45913</v>
      </c>
      <c r="D962" s="2">
        <v>45913</v>
      </c>
      <c r="E962" t="inlineStr">
        <is>
          <t>ปกติ</t>
        </is>
      </c>
      <c r="F962" s="3"/>
      <c r="G962"/>
      <c r="H962" t="inlineStr">
        <is>
          <t>Website</t>
        </is>
      </c>
      <c r="I962" t="inlineStr">
        <is>
          <t>งานประจำวัน</t>
        </is>
      </c>
      <c r="J962" t="inlineStr">
        <is>
          <t>Done</t>
        </is>
      </c>
      <c r="K962"/>
      <c r="L962" s="3"/>
      <c r="M962" t="inlineStr">
        <is>
          <t>1</t>
        </is>
      </c>
      <c r="N962" t="inlineStr">
        <is>
          <t>Apple</t>
        </is>
      </c>
      <c r="O962"/>
    </row>
    <row r="963" ht="12.75" customHeight="1">
      <c r="A963" t="inlineStr">
        <is>
          <t>สรุปเปิดตัว Apple Watch Ultra 3</t>
        </is>
      </c>
      <c r="B963" t="inlineStr">
        <is>
          <t>Nattida Suriyodara</t>
        </is>
      </c>
      <c r="C963" s="2">
        <v>45912</v>
      </c>
      <c r="D963" s="2"/>
      <c r="E963" t="inlineStr">
        <is>
          <t>ด่วน!</t>
        </is>
      </c>
      <c r="F963" s="3"/>
      <c r="G963"/>
      <c r="H963" t="inlineStr">
        <is>
          <t>Website</t>
        </is>
      </c>
      <c r="I963" t="inlineStr">
        <is>
          <t>งานประจำวัน</t>
        </is>
      </c>
      <c r="J963" t="inlineStr">
        <is>
          <t>Done</t>
        </is>
      </c>
      <c r="K963"/>
      <c r="L963" s="3"/>
      <c r="M963" t="inlineStr">
        <is>
          <t>1</t>
        </is>
      </c>
      <c r="N963" t="inlineStr">
        <is>
          <t>Apple</t>
        </is>
      </c>
      <c r="O963"/>
    </row>
    <row r="964" ht="12.75" customHeight="1">
      <c r="A964" t="inlineStr">
        <is>
          <t>อุปกรณ์เสริมที่ Apple มีหลังเปิดตัวสินค้าทุกรุ่น</t>
        </is>
      </c>
      <c r="B964" t="inlineStr">
        <is>
          <t>Nattida Suriyodara</t>
        </is>
      </c>
      <c r="C964" s="2">
        <v>45912</v>
      </c>
      <c r="D964" s="2"/>
      <c r="E964" t="inlineStr">
        <is>
          <t>ปกติ</t>
        </is>
      </c>
      <c r="F964" s="3"/>
      <c r="G964"/>
      <c r="H964" t="inlineStr">
        <is>
          <t>YouTube</t>
        </is>
      </c>
      <c r="I964" t="inlineStr">
        <is>
          <t>งานประจำวัน</t>
        </is>
      </c>
      <c r="J964" t="inlineStr">
        <is>
          <t>Done</t>
        </is>
      </c>
      <c r="K964" t="inlineStr">
        <is>
          <t>รวมทุกรุ่น</t>
        </is>
      </c>
      <c r="L964" s="3"/>
      <c r="M964" t="inlineStr">
        <is>
          <t>1</t>
        </is>
      </c>
      <c r="N964" t="inlineStr">
        <is>
          <t>Apple</t>
        </is>
      </c>
      <c r="O964"/>
    </row>
    <row r="965" ht="12.75" customHeight="1">
      <c r="A965" t="inlineStr">
        <is>
          <t>CASETiFY iPhone 17 Collection</t>
        </is>
      </c>
      <c r="B965" t="inlineStr">
        <is>
          <t>Sasithakan Sritonthip</t>
        </is>
      </c>
      <c r="C965" s="2">
        <v>45912</v>
      </c>
      <c r="D965" s="2"/>
      <c r="E965" t="inlineStr">
        <is>
          <t>ปกติ</t>
        </is>
      </c>
      <c r="F965" s="3" t="str">
        <f>=HYPERLINK("https://docs.google.com/document/d/18P7MV8rs2EwEoBepm3nkMTvGIw8AC3BFfWk8bezokI4/edit?tab=t.0", "https://docs.google.com/document/d/18P7MV8rs2EwEoBepm3nkMTvGIw8AC3BFfWk8bezokI4/edit?tab=t.0")</f>
        <v>https://docs.google.com/document/d/18P7MV8rs2EwEoBepm3nkMTvGIw8AC3BFfWk8bezokI4/edit?tab=t.0</v>
      </c>
      <c r="G965"/>
      <c r="H965" t="inlineStr">
        <is>
          <t>Website</t>
        </is>
      </c>
      <c r="I965" t="inlineStr">
        <is>
          <t>งานลูกค้า</t>
        </is>
      </c>
      <c r="J965" t="inlineStr">
        <is>
          <t>Done</t>
        </is>
      </c>
      <c r="K965" t="inlineStr">
        <is>
          <t>https://docs.google.com/document/d/1DNktpqeCeoWyKeADMMN5zAX0mkXBhqC5YGxNb_8kI88/edit?tab=t.0</t>
        </is>
      </c>
      <c r="L965" s="3" t="str">
        <f>=HYPERLINK("https://drive.google.com/drive/folders/1HZFm8P20m-T0TgwqMYOkKD40RUWZRzs-", "https://drive.google.com/drive/folders/1HZFm8P20m-T0TgwqMYOkKD40RUWZRzs-")</f>
        <v>https://drive.google.com/drive/folders/1HZFm8P20m-T0TgwqMYOkKD40RUWZRzs-</v>
      </c>
      <c r="M965" t="inlineStr">
        <is>
          <t>1</t>
        </is>
      </c>
      <c r="N965" t="inlineStr">
        <is>
          <t>Apple</t>
        </is>
      </c>
      <c r="O965"/>
    </row>
    <row r="966" ht="12.75" customHeight="1">
      <c r="A966" t="inlineStr">
        <is>
          <t>รวมประเด็นข้อสงสัย หลังเปิดตัว iPhone 17, iPhone Air, iPhone 17 Pro และ iPhone 17 Pro Max</t>
        </is>
      </c>
      <c r="B966" t="inlineStr">
        <is>
          <t>Saktaphat Kordjan</t>
        </is>
      </c>
      <c r="C966" s="2">
        <v>45912</v>
      </c>
      <c r="D966" s="2"/>
      <c r="E966" t="inlineStr">
        <is>
          <t>ปกติ</t>
        </is>
      </c>
      <c r="F966" s="3"/>
      <c r="G966"/>
      <c r="H966" t="inlineStr">
        <is>
          <t>YouTube</t>
        </is>
      </c>
      <c r="I966" t="inlineStr">
        <is>
          <t>เสนอไอเดีย</t>
        </is>
      </c>
      <c r="J966" t="inlineStr">
        <is>
          <t>Done</t>
        </is>
      </c>
      <c r="K966"/>
      <c r="L966" s="3"/>
      <c r="M966" t="inlineStr">
        <is>
          <t>1</t>
        </is>
      </c>
      <c r="N966" t="inlineStr">
        <is>
          <t>Apple</t>
        </is>
      </c>
      <c r="O966"/>
    </row>
    <row r="967" ht="12.75" customHeight="1">
      <c r="A967" t="inlineStr">
        <is>
          <t>วันจอง iPhone</t>
        </is>
      </c>
      <c r="B967" t="inlineStr">
        <is>
          <t>Nattida Suriyodara</t>
        </is>
      </c>
      <c r="C967" s="2">
        <v>45912</v>
      </c>
      <c r="D967" s="2"/>
      <c r="E967" t="inlineStr">
        <is>
          <t>ด่วน!</t>
        </is>
      </c>
      <c r="F967" s="3"/>
      <c r="G967"/>
      <c r="H967" t="inlineStr">
        <is>
          <t>YouTube</t>
        </is>
      </c>
      <c r="I967" t="inlineStr">
        <is>
          <t>งานประจำวัน</t>
        </is>
      </c>
      <c r="J967" t="inlineStr">
        <is>
          <t>Done</t>
        </is>
      </c>
      <c r="K967"/>
      <c r="L967" s="3"/>
      <c r="M967" t="inlineStr">
        <is>
          <t>1</t>
        </is>
      </c>
      <c r="N967" t="inlineStr">
        <is>
          <t>Apple</t>
        </is>
      </c>
      <c r="O967"/>
    </row>
    <row r="968" ht="12.75" customHeight="1">
      <c r="A968" t="inlineStr">
        <is>
          <t>Apple ปิดร้านค้าชั่วคราว เตรียมเปิดจอง เลือกรุ่นไหนดี?</t>
        </is>
      </c>
      <c r="B968" t="inlineStr">
        <is>
          <t>Saktaphat Kordjan</t>
        </is>
      </c>
      <c r="C968" s="2">
        <v>45912</v>
      </c>
      <c r="D968" s="2"/>
      <c r="E968" t="inlineStr">
        <is>
          <t>ปกติ</t>
        </is>
      </c>
      <c r="F968" s="3"/>
      <c r="G968"/>
      <c r="H968" t="inlineStr">
        <is>
          <t>Shorts</t>
        </is>
      </c>
      <c r="I968" t="inlineStr">
        <is>
          <t>เสนอไอเดีย</t>
        </is>
      </c>
      <c r="J968" t="inlineStr">
        <is>
          <t>Done</t>
        </is>
      </c>
      <c r="K968"/>
      <c r="L968" s="3"/>
      <c r="M968" t="inlineStr">
        <is>
          <t>1</t>
        </is>
      </c>
      <c r="N968" t="inlineStr">
        <is>
          <t>Apple</t>
        </is>
      </c>
      <c r="O968"/>
    </row>
    <row r="969" ht="12.75" customHeight="1">
      <c r="A969" t="inlineStr">
        <is>
          <t xml:space="preserve">พาชมตัวเครื่อง สี ของ iPhone รุ่นใหม่ </t>
        </is>
      </c>
      <c r="B969" t="inlineStr">
        <is>
          <t>Saktaphat Kordjan,Krongkwun  Rithiwong</t>
        </is>
      </c>
      <c r="C969" s="2">
        <v>45912</v>
      </c>
      <c r="D969" s="2"/>
      <c r="E969" t="inlineStr">
        <is>
          <t>ปกติ</t>
        </is>
      </c>
      <c r="F969" s="3"/>
      <c r="G969"/>
      <c r="H969" t="inlineStr">
        <is>
          <t>Shorts</t>
        </is>
      </c>
      <c r="I969" t="inlineStr">
        <is>
          <t>เสนอไอเดีย</t>
        </is>
      </c>
      <c r="J969" t="inlineStr">
        <is>
          <t>Done</t>
        </is>
      </c>
      <c r="K969"/>
      <c r="L969" s="3"/>
      <c r="M969" t="inlineStr">
        <is>
          <t>1</t>
        </is>
      </c>
      <c r="N969" t="inlineStr">
        <is>
          <t>Apple</t>
        </is>
      </c>
      <c r="O969"/>
    </row>
    <row r="970" ht="12.75" customHeight="1">
      <c r="A970" t="inlineStr">
        <is>
          <t>มาดูกันว่าทำไม iPhone 17 Pro เลิกใช้ไทเทเนียม</t>
        </is>
      </c>
      <c r="B970" t="inlineStr">
        <is>
          <t>Saktaphat Kordjan</t>
        </is>
      </c>
      <c r="C970" s="2">
        <v>45912</v>
      </c>
      <c r="D970" s="2"/>
      <c r="E970" t="inlineStr">
        <is>
          <t>ปกติ</t>
        </is>
      </c>
      <c r="F970" s="3"/>
      <c r="G970"/>
      <c r="H970" t="inlineStr">
        <is>
          <t>Website</t>
        </is>
      </c>
      <c r="I970" t="inlineStr">
        <is>
          <t>งานประจำวัน</t>
        </is>
      </c>
      <c r="J970" t="inlineStr">
        <is>
          <t>Done</t>
        </is>
      </c>
      <c r="K970"/>
      <c r="L970" s="3"/>
      <c r="M970" t="inlineStr">
        <is>
          <t>1</t>
        </is>
      </c>
      <c r="N970" t="inlineStr">
        <is>
          <t>Apple</t>
        </is>
      </c>
      <c r="O970"/>
    </row>
    <row r="971" ht="12.75" customHeight="1">
      <c r="A971" t="inlineStr">
        <is>
          <t>ลือ Qualcomm เตรียมเปิดตัว Snapdragon 8s Gen 4 โอเวอร์คล็อก</t>
        </is>
      </c>
      <c r="B971" t="inlineStr">
        <is>
          <t>Saktaphat Kordjan</t>
        </is>
      </c>
      <c r="C971" s="2">
        <v>45912</v>
      </c>
      <c r="D971" s="2"/>
      <c r="E971" t="inlineStr">
        <is>
          <t>ปกติ</t>
        </is>
      </c>
      <c r="F971" s="3"/>
      <c r="G971"/>
      <c r="H971" t="inlineStr">
        <is>
          <t>Website</t>
        </is>
      </c>
      <c r="I971" t="inlineStr">
        <is>
          <t>งานประจำวัน</t>
        </is>
      </c>
      <c r="J971" t="inlineStr">
        <is>
          <t>Done</t>
        </is>
      </c>
      <c r="K971"/>
      <c r="L971" s="3"/>
      <c r="M971" t="inlineStr">
        <is>
          <t>1</t>
        </is>
      </c>
      <c r="N971" t="inlineStr">
        <is>
          <t>Android, Tech</t>
        </is>
      </c>
      <c r="O971"/>
    </row>
    <row r="972" ht="12.75" customHeight="1">
      <c r="A972" t="inlineStr">
        <is>
          <t>เผยโฉม Nothing Ear (3) พร้อมเคสที่มีไมโครโฟนและปุ่ม 'Talk'</t>
        </is>
      </c>
      <c r="B972" t="inlineStr">
        <is>
          <t>Saktaphat Kordjan</t>
        </is>
      </c>
      <c r="C972" s="2">
        <v>45912</v>
      </c>
      <c r="D972" s="2"/>
      <c r="E972" t="inlineStr">
        <is>
          <t>ปกติ</t>
        </is>
      </c>
      <c r="F972" s="3"/>
      <c r="G972"/>
      <c r="H972" t="inlineStr">
        <is>
          <t>Website</t>
        </is>
      </c>
      <c r="I972" t="inlineStr">
        <is>
          <t>งานประจำวัน</t>
        </is>
      </c>
      <c r="J972" t="inlineStr">
        <is>
          <t>Done</t>
        </is>
      </c>
      <c r="K972"/>
      <c r="L972" s="3"/>
      <c r="M972" t="inlineStr">
        <is>
          <t>1</t>
        </is>
      </c>
      <c r="N972" t="inlineStr">
        <is>
          <t>Android</t>
        </is>
      </c>
      <c r="O972"/>
    </row>
    <row r="973" ht="12.75" customHeight="1">
      <c r="A973" t="inlineStr">
        <is>
          <t>ฟีเจอร์ Center Stage บน iPhone 17 Series</t>
        </is>
      </c>
      <c r="B973" t="inlineStr">
        <is>
          <t>Saktaphat Kordjan,Sasithakan Sritonthip</t>
        </is>
      </c>
      <c r="C973" s="2">
        <v>45911</v>
      </c>
      <c r="D973" s="2"/>
      <c r="E973" t="inlineStr">
        <is>
          <t>ปกติ</t>
        </is>
      </c>
      <c r="F973" s="3"/>
      <c r="G973"/>
      <c r="H973" t="inlineStr">
        <is>
          <t>Shorts</t>
        </is>
      </c>
      <c r="I973" t="inlineStr">
        <is>
          <t>งานประจำวัน</t>
        </is>
      </c>
      <c r="J973" t="inlineStr">
        <is>
          <t>Done</t>
        </is>
      </c>
      <c r="K973"/>
      <c r="L973" s="3"/>
      <c r="M973" t="inlineStr">
        <is>
          <t>1</t>
        </is>
      </c>
      <c r="N973" t="inlineStr">
        <is>
          <t>Apple</t>
        </is>
      </c>
      <c r="O973"/>
    </row>
    <row r="974" ht="12.75" customHeight="1">
      <c r="A974" t="inlineStr">
        <is>
          <t>Apple Watch รุ่น GPS กับ GPS + Cellular ต่างกันยังไง</t>
        </is>
      </c>
      <c r="B974" t="inlineStr">
        <is>
          <t>Nattida Suriyodara,Sasithakan Sritonthip</t>
        </is>
      </c>
      <c r="C974" s="2">
        <v>45911</v>
      </c>
      <c r="D974" s="2"/>
      <c r="E974" t="inlineStr">
        <is>
          <t>ปกติ</t>
        </is>
      </c>
      <c r="F974" s="3"/>
      <c r="G974"/>
      <c r="H974" t="inlineStr">
        <is>
          <t>Shorts</t>
        </is>
      </c>
      <c r="I974" t="inlineStr">
        <is>
          <t>เสนอไอเดีย</t>
        </is>
      </c>
      <c r="J974" t="inlineStr">
        <is>
          <t>Done</t>
        </is>
      </c>
      <c r="K974" t="inlineStr">
        <is>
          <t>เล่า และโยงไปว่า Apple watch รองรับ 5G ไทยแล้ว</t>
        </is>
      </c>
      <c r="L974" s="3"/>
      <c r="M974" t="inlineStr">
        <is>
          <t>1</t>
        </is>
      </c>
      <c r="N974" t="inlineStr">
        <is>
          <t>Apple</t>
        </is>
      </c>
      <c r="O974"/>
    </row>
    <row r="975" ht="12.75" customHeight="1">
      <c r="A975" t="inlineStr">
        <is>
          <t>iPhone 17 Pro เพิ่มฟีเจอร์ปิดการกะพริบหน้าจอ (PWM)</t>
        </is>
      </c>
      <c r="B975" t="inlineStr">
        <is>
          <t>Sasithakan Sritonthip</t>
        </is>
      </c>
      <c r="C975" s="2">
        <v>45911</v>
      </c>
      <c r="D975" s="2"/>
      <c r="E975" t="inlineStr">
        <is>
          <t>ปกติ</t>
        </is>
      </c>
      <c r="F975" s="3" t="str">
        <f>=HYPERLINK("https://www.macrumors.com/2025/09/09/iphone-17-pro-pwm-toggle/", "https://www.macrumors.com/2025/09/09/iphone-17-pro-pwm-toggle/")</f>
        <v>https://www.macrumors.com/2025/09/09/iphone-17-pro-pwm-toggle/</v>
      </c>
      <c r="G975"/>
      <c r="H975" t="inlineStr">
        <is>
          <t>Website</t>
        </is>
      </c>
      <c r="I975" t="inlineStr">
        <is>
          <t>งานประจำวัน</t>
        </is>
      </c>
      <c r="J975" t="inlineStr">
        <is>
          <t>Done</t>
        </is>
      </c>
      <c r="K975"/>
      <c r="L975" s="3"/>
      <c r="M975" t="inlineStr">
        <is>
          <t>1</t>
        </is>
      </c>
      <c r="N975" t="inlineStr">
        <is>
          <t>Apple</t>
        </is>
      </c>
      <c r="O975"/>
    </row>
    <row r="976" ht="12.75" customHeight="1">
      <c r="A976" t="inlineStr">
        <is>
          <t>สรุปเปิดตัว Apple Watch Series 11</t>
        </is>
      </c>
      <c r="B976" t="inlineStr">
        <is>
          <t>Nattida Suriyodara</t>
        </is>
      </c>
      <c r="C976" s="2">
        <v>45911</v>
      </c>
      <c r="D976" s="2"/>
      <c r="E976" t="inlineStr">
        <is>
          <t>ด่วน!</t>
        </is>
      </c>
      <c r="F976" s="3"/>
      <c r="G976"/>
      <c r="H976" t="inlineStr">
        <is>
          <t>Website</t>
        </is>
      </c>
      <c r="I976" t="inlineStr">
        <is>
          <t>งานประจำวัน</t>
        </is>
      </c>
      <c r="J976" t="inlineStr">
        <is>
          <t>Done</t>
        </is>
      </c>
      <c r="K976"/>
      <c r="L976" s="3"/>
      <c r="M976" t="inlineStr">
        <is>
          <t>1</t>
        </is>
      </c>
      <c r="N976" t="inlineStr">
        <is>
          <t>Apple</t>
        </is>
      </c>
      <c r="O976"/>
    </row>
    <row r="977" ht="12.75" customHeight="1">
      <c r="A977" t="inlineStr">
        <is>
          <t>สรุปราคา วันจอง-จำหน่าย iPhone 17</t>
        </is>
      </c>
      <c r="B977" t="inlineStr">
        <is>
          <t>Thitirath Kinaret,Sasithakan Sritonthip</t>
        </is>
      </c>
      <c r="C977" s="2">
        <v>45911</v>
      </c>
      <c r="D977" s="2">
        <v>45911</v>
      </c>
      <c r="E977" t="inlineStr">
        <is>
          <t>ด่วน!</t>
        </is>
      </c>
      <c r="F977" s="3"/>
      <c r="G977"/>
      <c r="H977" t="inlineStr">
        <is>
          <t>Shorts</t>
        </is>
      </c>
      <c r="I977" t="inlineStr">
        <is>
          <t>งานประจำวัน</t>
        </is>
      </c>
      <c r="J977" t="inlineStr">
        <is>
          <t>Done</t>
        </is>
      </c>
      <c r="K977"/>
      <c r="L977" s="3"/>
      <c r="M977" t="inlineStr">
        <is>
          <t>1</t>
        </is>
      </c>
      <c r="N977" t="inlineStr">
        <is>
          <t>Apple</t>
        </is>
      </c>
      <c r="O977"/>
    </row>
    <row r="978" ht="12.75" customHeight="1">
      <c r="A978" t="inlineStr">
        <is>
          <t>เทียบความต่าง ระหว่าง iPhone 17 Pro / Pro Max</t>
        </is>
      </c>
      <c r="B978" t="inlineStr">
        <is>
          <t>Sasithakan Sritonthip</t>
        </is>
      </c>
      <c r="C978" s="2">
        <v>45911</v>
      </c>
      <c r="D978" s="2"/>
      <c r="E978" t="inlineStr">
        <is>
          <t>ปกติ</t>
        </is>
      </c>
      <c r="F978" s="3" t="str">
        <f>=HYPERLINK("https://www.macrumors.com/2025/09/10/iphone-17-pro-vs-pro-max/", "https://www.macrumors.com/2025/09/10/iphone-17-pro-vs-pro-max/")</f>
        <v>https://www.macrumors.com/2025/09/10/iphone-17-pro-vs-pro-max/</v>
      </c>
      <c r="G978"/>
      <c r="H978" t="inlineStr">
        <is>
          <t>Website</t>
        </is>
      </c>
      <c r="I978" t="inlineStr">
        <is>
          <t>งานประจำวัน</t>
        </is>
      </c>
      <c r="J978" t="inlineStr">
        <is>
          <t>Done</t>
        </is>
      </c>
      <c r="K978"/>
      <c r="L978" s="3"/>
      <c r="M978" t="inlineStr">
        <is>
          <t>1</t>
        </is>
      </c>
      <c r="N978" t="inlineStr">
        <is>
          <t>Apple</t>
        </is>
      </c>
      <c r="O978"/>
    </row>
    <row r="979" ht="12.75" customHeight="1">
      <c r="A979" t="inlineStr">
        <is>
          <t>เปรียบเทียบความต่าง iPhone 17 Pro / Pro Max</t>
        </is>
      </c>
      <c r="B979" t="inlineStr">
        <is>
          <t>Sasithakan Sritonthip</t>
        </is>
      </c>
      <c r="C979" s="2">
        <v>45911</v>
      </c>
      <c r="D979" s="2"/>
      <c r="E979" t="inlineStr">
        <is>
          <t>ปกติ</t>
        </is>
      </c>
      <c r="F979" s="3" t="str">
        <f>=HYPERLINK("https://www.macrumors.com/2025/09/10/iphone-17-pro-vs-pro-max/", "https://www.macrumors.com/2025/09/10/iphone-17-pro-vs-pro-max/")</f>
        <v>https://www.macrumors.com/2025/09/10/iphone-17-pro-vs-pro-max/</v>
      </c>
      <c r="G979"/>
      <c r="H979" t="inlineStr">
        <is>
          <t>Website</t>
        </is>
      </c>
      <c r="I979" t="inlineStr">
        <is>
          <t>งานประจำวัน</t>
        </is>
      </c>
      <c r="J979" t="inlineStr">
        <is>
          <t>Done</t>
        </is>
      </c>
      <c r="K979"/>
      <c r="L979" s="3"/>
      <c r="M979" t="inlineStr">
        <is>
          <t>1</t>
        </is>
      </c>
      <c r="N979" t="inlineStr">
        <is>
          <t>Apple</t>
        </is>
      </c>
      <c r="O979"/>
    </row>
    <row r="980" ht="12.75" customHeight="1">
      <c r="A980" t="inlineStr">
        <is>
          <t>ฟีเจอร์ Center Stage บน iPhone 17</t>
        </is>
      </c>
      <c r="B980" t="inlineStr">
        <is>
          <t>Sasithakan Sritonthip</t>
        </is>
      </c>
      <c r="C980" s="2">
        <v>45911</v>
      </c>
      <c r="D980" s="2"/>
      <c r="E980" t="inlineStr">
        <is>
          <t>ปกติ</t>
        </is>
      </c>
      <c r="F980" s="3"/>
      <c r="G980"/>
      <c r="H980" t="inlineStr">
        <is>
          <t>Website</t>
        </is>
      </c>
      <c r="I980" t="inlineStr">
        <is>
          <t>งานประจำวัน</t>
        </is>
      </c>
      <c r="J980" t="inlineStr">
        <is>
          <t>Done</t>
        </is>
      </c>
      <c r="K980"/>
      <c r="L980" s="3"/>
      <c r="M980" t="inlineStr">
        <is>
          <t>1</t>
        </is>
      </c>
      <c r="N980" t="inlineStr">
        <is>
          <t>Apple</t>
        </is>
      </c>
      <c r="O980"/>
    </row>
    <row r="981" ht="12.75" customHeight="1">
      <c r="A981" t="inlineStr">
        <is>
          <t xml:space="preserve"> Apple Watch รุ่นไหนเหมาะกับใคร</t>
        </is>
      </c>
      <c r="B981" t="inlineStr">
        <is>
          <t>Nattida Suriyodara</t>
        </is>
      </c>
      <c r="C981" s="2">
        <v>45911</v>
      </c>
      <c r="D981" s="2"/>
      <c r="E981" t="inlineStr">
        <is>
          <t>ปกติ</t>
        </is>
      </c>
      <c r="F981" s="3"/>
      <c r="G981"/>
      <c r="H981" t="inlineStr">
        <is>
          <t>YouTube</t>
        </is>
      </c>
      <c r="I981" t="inlineStr">
        <is>
          <t>งานประจำวัน</t>
        </is>
      </c>
      <c r="J981" t="inlineStr">
        <is>
          <t>Done</t>
        </is>
      </c>
      <c r="K981"/>
      <c r="L981" s="3"/>
      <c r="M981" t="inlineStr">
        <is>
          <t>1</t>
        </is>
      </c>
      <c r="N981" t="inlineStr">
        <is>
          <t>Apple</t>
        </is>
      </c>
      <c r="O981"/>
    </row>
    <row r="982" ht="12.75" customHeight="1">
      <c r="A982" t="inlineStr">
        <is>
          <t xml:space="preserve">สรุปสเปค Apple Watch </t>
        </is>
      </c>
      <c r="B982" t="inlineStr">
        <is>
          <t>Nattida Suriyodara</t>
        </is>
      </c>
      <c r="C982" s="2">
        <v>45910</v>
      </c>
      <c r="D982" s="2"/>
      <c r="E982" t="inlineStr">
        <is>
          <t xml:space="preserve">ด่วนมาก! </t>
        </is>
      </c>
      <c r="F982" s="3"/>
      <c r="G982"/>
      <c r="H982" t="inlineStr">
        <is>
          <t>Website</t>
        </is>
      </c>
      <c r="I982" t="inlineStr">
        <is>
          <t>งานประจำวัน</t>
        </is>
      </c>
      <c r="J982" t="inlineStr">
        <is>
          <t>Done</t>
        </is>
      </c>
      <c r="K982"/>
      <c r="L982" s="3"/>
      <c r="M982" t="inlineStr">
        <is>
          <t>1</t>
        </is>
      </c>
      <c r="N982" t="inlineStr">
        <is>
          <t>Apple</t>
        </is>
      </c>
      <c r="O982"/>
    </row>
    <row r="983" ht="12.75" customHeight="1">
      <c r="A983" t="inlineStr">
        <is>
          <t>Apple เลิกขายและลดราคา iPhone รุ่นไหนบ้าง</t>
        </is>
      </c>
      <c r="B983" t="inlineStr">
        <is>
          <t>Nattida Suriyodara,Thitirath Kinaret</t>
        </is>
      </c>
      <c r="C983" s="2">
        <v>45910</v>
      </c>
      <c r="D983" s="2"/>
      <c r="E983" t="inlineStr">
        <is>
          <t xml:space="preserve">ด่วนมาก! </t>
        </is>
      </c>
      <c r="F983" s="3"/>
      <c r="G983"/>
      <c r="H983" t="inlineStr">
        <is>
          <t>Shorts</t>
        </is>
      </c>
      <c r="I983" t="inlineStr">
        <is>
          <t>งานลูกค้า</t>
        </is>
      </c>
      <c r="J983" t="inlineStr">
        <is>
          <t>Done</t>
        </is>
      </c>
      <c r="K983"/>
      <c r="L983" s="3"/>
      <c r="M983" t="inlineStr">
        <is>
          <t>1</t>
        </is>
      </c>
      <c r="N983" t="inlineStr">
        <is>
          <t>Apple</t>
        </is>
      </c>
      <c r="O983" t="inlineStr">
        <is>
          <t>Focus</t>
        </is>
      </c>
    </row>
    <row r="984" ht="12.75" customHeight="1">
      <c r="A984" t="inlineStr">
        <is>
          <t>สรุปสเปค Apple Watch</t>
        </is>
      </c>
      <c r="B984" t="inlineStr">
        <is>
          <t>Nattida Suriyodara</t>
        </is>
      </c>
      <c r="C984" s="2">
        <v>45910</v>
      </c>
      <c r="D984" s="2"/>
      <c r="E984" t="inlineStr">
        <is>
          <t xml:space="preserve">ด่วนมาก! </t>
        </is>
      </c>
      <c r="F984" s="3"/>
      <c r="G984"/>
      <c r="H984" t="inlineStr">
        <is>
          <t>YouTube</t>
        </is>
      </c>
      <c r="I984" t="inlineStr">
        <is>
          <t>งานประจำวัน</t>
        </is>
      </c>
      <c r="J984" t="inlineStr">
        <is>
          <t>Done</t>
        </is>
      </c>
      <c r="K984"/>
      <c r="L984" s="3"/>
      <c r="M984" t="inlineStr">
        <is>
          <t>1</t>
        </is>
      </c>
      <c r="N984" t="inlineStr">
        <is>
          <t>Apple</t>
        </is>
      </c>
      <c r="O984"/>
    </row>
    <row r="985" ht="12.75" customHeight="1">
      <c r="A985" t="inlineStr">
        <is>
          <t>สรุปสเปค AirPods Pro 3</t>
        </is>
      </c>
      <c r="B985" t="inlineStr">
        <is>
          <t>Nattida Suriyodara</t>
        </is>
      </c>
      <c r="C985" s="2">
        <v>45910</v>
      </c>
      <c r="D985" s="2"/>
      <c r="E985" t="inlineStr">
        <is>
          <t xml:space="preserve">ด่วนมาก! </t>
        </is>
      </c>
      <c r="F985" s="3"/>
      <c r="G985"/>
      <c r="H985" t="inlineStr">
        <is>
          <t>YouTube</t>
        </is>
      </c>
      <c r="I985" t="inlineStr">
        <is>
          <t>งานประจำวัน</t>
        </is>
      </c>
      <c r="J985" t="inlineStr">
        <is>
          <t>Done</t>
        </is>
      </c>
      <c r="K985"/>
      <c r="L985" s="3"/>
      <c r="M985" t="inlineStr">
        <is>
          <t>1</t>
        </is>
      </c>
      <c r="N985" t="inlineStr">
        <is>
          <t>Apple</t>
        </is>
      </c>
      <c r="O985"/>
    </row>
    <row r="986" ht="12.75" customHeight="1">
      <c r="A986" t="inlineStr">
        <is>
          <t>AIS 5G เปิดสั่งจอง iPhone 17 พร้อมโปรโมชันสุดพิเศษสำหรับลูกค้า AIS วันศุกร์ ที่ 12 ก.ย. 68</t>
        </is>
      </c>
      <c r="B986" t="inlineStr">
        <is>
          <t>Sasithakan Sritonthip</t>
        </is>
      </c>
      <c r="C986" s="2">
        <v>45910</v>
      </c>
      <c r="D986" s="2"/>
      <c r="E986" t="inlineStr">
        <is>
          <t>ปกติ</t>
        </is>
      </c>
      <c r="F986" s="3" t="str">
        <f>=HYPERLINK("https://www.ais.th/consumers/promotions/recommend/apple/iphone-17-series-air", "https://www.ais.th/consumers/promotions/recommend/apple/iphone-17-series-air")</f>
        <v>https://www.ais.th/consumers/promotions/recommend/apple/iphone-17-series-air</v>
      </c>
      <c r="G986"/>
      <c r="H986" t="inlineStr">
        <is>
          <t>Website</t>
        </is>
      </c>
      <c r="I986" t="inlineStr">
        <is>
          <t>งานประจำวัน</t>
        </is>
      </c>
      <c r="J986" t="inlineStr">
        <is>
          <t>Done</t>
        </is>
      </c>
      <c r="K986"/>
      <c r="L986" s="3"/>
      <c r="M986" t="inlineStr">
        <is>
          <t>1</t>
        </is>
      </c>
      <c r="N986" t="inlineStr">
        <is>
          <t>Apple, ลูกค้า</t>
        </is>
      </c>
      <c r="O986" t="inlineStr">
        <is>
          <t>AIS</t>
        </is>
      </c>
    </row>
    <row r="987" ht="12.75" customHeight="1">
      <c r="A987" t="inlineStr">
        <is>
          <t>เปรียบเทียบ แบต iPhone 17 กับ iPhone 16</t>
        </is>
      </c>
      <c r="B987" t="inlineStr">
        <is>
          <t>Sasithakan Sritonthip</t>
        </is>
      </c>
      <c r="C987" s="2">
        <v>45910</v>
      </c>
      <c r="D987" s="2"/>
      <c r="E987" t="inlineStr">
        <is>
          <t>ปกติ</t>
        </is>
      </c>
      <c r="F987" s="3" t="str">
        <f>=HYPERLINK("https://www.macrumors.com/2025/09/09/iphone-17-battery-life-comparison/", "https://www.macrumors.com/2025/09/09/iphone-17-battery-life-comparison/")</f>
        <v>https://www.macrumors.com/2025/09/09/iphone-17-battery-life-comparison/</v>
      </c>
      <c r="G987"/>
      <c r="H987" t="inlineStr">
        <is>
          <t>Website</t>
        </is>
      </c>
      <c r="I987" t="inlineStr">
        <is>
          <t>งานประจำวัน</t>
        </is>
      </c>
      <c r="J987" t="inlineStr">
        <is>
          <t>Done</t>
        </is>
      </c>
      <c r="K987"/>
      <c r="L987" s="3"/>
      <c r="M987" t="inlineStr">
        <is>
          <t>1</t>
        </is>
      </c>
      <c r="N987" t="inlineStr">
        <is>
          <t>Apple</t>
        </is>
      </c>
      <c r="O987"/>
    </row>
    <row r="988" ht="12.75" customHeight="1">
      <c r="A988" t="inlineStr">
        <is>
          <t>สรุปราคา iPhone 17 ทุกรุ่น วันจอง วันขายในไทย</t>
        </is>
      </c>
      <c r="B988" t="inlineStr">
        <is>
          <t>Thitirath Kinaret,Sasithakan Sritonthip</t>
        </is>
      </c>
      <c r="C988" s="2">
        <v>45910</v>
      </c>
      <c r="D988" s="2"/>
      <c r="E988" t="inlineStr">
        <is>
          <t>ด่วน!</t>
        </is>
      </c>
      <c r="F988" s="3"/>
      <c r="G988"/>
      <c r="H988" t="inlineStr">
        <is>
          <t>Website</t>
        </is>
      </c>
      <c r="I988" t="inlineStr">
        <is>
          <t>งานประจำวัน</t>
        </is>
      </c>
      <c r="J988" t="inlineStr">
        <is>
          <t>Done</t>
        </is>
      </c>
      <c r="K988"/>
      <c r="L988" s="3"/>
      <c r="M988" t="inlineStr">
        <is>
          <t>1</t>
        </is>
      </c>
      <c r="N988" t="inlineStr">
        <is>
          <t>Apple</t>
        </is>
      </c>
      <c r="O988"/>
    </row>
    <row r="989" ht="12.75" customHeight="1">
      <c r="A989" t="inlineStr">
        <is>
          <t>Apple ลดราคา iPhone รุ่นเก่า (สูงสุด 5,000 บาท) หลังเปิดตัว iPhone 17 มีผลทันที!</t>
        </is>
      </c>
      <c r="B989" t="inlineStr">
        <is>
          <t>Thitirath Kinaret,Sasithakan Sritonthip</t>
        </is>
      </c>
      <c r="C989" s="2">
        <v>45910</v>
      </c>
      <c r="D989" s="2"/>
      <c r="E989" t="inlineStr">
        <is>
          <t>ด่วน!</t>
        </is>
      </c>
      <c r="F989" s="3"/>
      <c r="G989"/>
      <c r="H989" t="inlineStr">
        <is>
          <t>Website</t>
        </is>
      </c>
      <c r="I989" t="inlineStr">
        <is>
          <t>งานประจำวัน</t>
        </is>
      </c>
      <c r="J989" t="inlineStr">
        <is>
          <t>Done</t>
        </is>
      </c>
      <c r="K989"/>
      <c r="L989" s="3"/>
      <c r="M989" t="inlineStr">
        <is>
          <t>1</t>
        </is>
      </c>
      <c r="N989" t="inlineStr">
        <is>
          <t>Apple</t>
        </is>
      </c>
      <c r="O989"/>
    </row>
    <row r="990" ht="12.75" customHeight="1">
      <c r="A990" t="inlineStr">
        <is>
          <t>True พร้อมวางจำหน่าย iPhone 17 วันที่ 19 ก.ย. 68</t>
        </is>
      </c>
      <c r="B990" t="inlineStr">
        <is>
          <t>Sasithakan Sritonthip</t>
        </is>
      </c>
      <c r="C990" s="2">
        <v>45910</v>
      </c>
      <c r="D990" s="2"/>
      <c r="E990" t="inlineStr">
        <is>
          <t>ปกติ</t>
        </is>
      </c>
      <c r="F990" s="3" t="str">
        <f>=HYPERLINK("https://www.true.th/promotion/devices/iphone-17-pro", "https://www.true.th/promotion/devices/iphone-17-pro")</f>
        <v>https://www.true.th/promotion/devices/iphone-17-pro</v>
      </c>
      <c r="G990"/>
      <c r="H990" t="inlineStr">
        <is>
          <t>Website</t>
        </is>
      </c>
      <c r="I990" t="inlineStr">
        <is>
          <t>งานประจำวัน</t>
        </is>
      </c>
      <c r="J990" t="inlineStr">
        <is>
          <t>Done</t>
        </is>
      </c>
      <c r="K990"/>
      <c r="L990" s="3"/>
      <c r="M990" t="inlineStr">
        <is>
          <t>1</t>
        </is>
      </c>
      <c r="N990" t="inlineStr">
        <is>
          <t>Apple</t>
        </is>
      </c>
      <c r="O990" t="inlineStr">
        <is>
          <t>True DTAC</t>
        </is>
      </c>
    </row>
    <row r="991" ht="12.75" customHeight="1">
      <c r="A991" t="inlineStr">
        <is>
          <t>คุยหลังเปิดตัว iPhone 17 เก็บตกประเด็นน่าสนใจ ดีไซน์ สเปค รุ่นน่าซื้อ</t>
        </is>
      </c>
      <c r="B991" t="inlineStr">
        <is>
          <t>Saktaphat Kordjan,Thitirath Kinaret</t>
        </is>
      </c>
      <c r="C991" s="2">
        <v>45910</v>
      </c>
      <c r="D991" s="2">
        <v>45910</v>
      </c>
      <c r="E991" t="inlineStr">
        <is>
          <t>ปกติ</t>
        </is>
      </c>
      <c r="F991" s="3"/>
      <c r="G991"/>
      <c r="H991" t="inlineStr">
        <is>
          <t>YouTube</t>
        </is>
      </c>
      <c r="I991" t="inlineStr">
        <is>
          <t>งานลูกค้า</t>
        </is>
      </c>
      <c r="J991" t="inlineStr">
        <is>
          <t>Done</t>
        </is>
      </c>
      <c r="K991" t="inlineStr">
        <is>
          <t xml:space="preserve">พูดคุยประเด็นหลังงานเปิดตัว + Tie in </t>
        </is>
      </c>
      <c r="L991" s="3" t="str">
        <f>=HYPERLINK("https://www.youtube.com/watch?v=KEyAu3fWVbU&amp;t=162s", "https://www.youtube.com/watch?v=KEyAu3fWVbU&amp;t=162s")</f>
        <v>https://www.youtube.com/watch?v=KEyAu3fWVbU&amp;t=162s</v>
      </c>
      <c r="M991" t="inlineStr">
        <is>
          <t>1</t>
        </is>
      </c>
      <c r="N991" t="inlineStr">
        <is>
          <t>Apple, ลูกค้า</t>
        </is>
      </c>
      <c r="O991" t="inlineStr">
        <is>
          <t>Max Guard</t>
        </is>
      </c>
    </row>
    <row r="992" ht="12.75" customHeight="1">
      <c r="A992" t="inlineStr">
        <is>
          <t xml:space="preserve">ชวนดู Live iMoD </t>
        </is>
      </c>
      <c r="B992" t="inlineStr">
        <is>
          <t>Nattida Suriyodara,Sasithakan Sritonthip,Thitirath Kinaret</t>
        </is>
      </c>
      <c r="C992" s="2">
        <v>45909</v>
      </c>
      <c r="D992" s="2"/>
      <c r="E992" t="inlineStr">
        <is>
          <t>ปกติ</t>
        </is>
      </c>
      <c r="F992" s="3"/>
      <c r="G992"/>
      <c r="H992" t="inlineStr">
        <is>
          <t>Shorts</t>
        </is>
      </c>
      <c r="I992" t="inlineStr">
        <is>
          <t>งานประจำวัน</t>
        </is>
      </c>
      <c r="J992" t="inlineStr">
        <is>
          <t>Done</t>
        </is>
      </c>
      <c r="K992"/>
      <c r="L992" s="3"/>
      <c r="M992" t="inlineStr">
        <is>
          <t>1</t>
        </is>
      </c>
      <c r="N992" t="inlineStr">
        <is>
          <t>Apple</t>
        </is>
      </c>
      <c r="O992"/>
    </row>
    <row r="993" ht="12.75" customHeight="1">
      <c r="A993" t="inlineStr">
        <is>
          <t>AirPods Pro 3 อาจไม่ได้มีการปรับปรุงเรื่องเสียง</t>
        </is>
      </c>
      <c r="B993" t="inlineStr">
        <is>
          <t>Nattida Suriyodara</t>
        </is>
      </c>
      <c r="C993" s="2">
        <v>45909</v>
      </c>
      <c r="D993" s="2"/>
      <c r="E993" t="inlineStr">
        <is>
          <t>ปกติ</t>
        </is>
      </c>
      <c r="F993" s="3" t="str">
        <f>=HYPERLINK("https://www.macrumors.com/2025/09/08/airpods-pro-3-no-major-anc-improvement/", "https://www.macrumors.com/2025/09/08/airpods-pro-3-no-major-anc-improvement/")</f>
        <v>https://www.macrumors.com/2025/09/08/airpods-pro-3-no-major-anc-improvement/</v>
      </c>
      <c r="G993"/>
      <c r="H993" t="inlineStr">
        <is>
          <t>Website</t>
        </is>
      </c>
      <c r="I993" t="inlineStr">
        <is>
          <t>งานประจำวัน</t>
        </is>
      </c>
      <c r="J993" t="inlineStr">
        <is>
          <t>Done</t>
        </is>
      </c>
      <c r="K993"/>
      <c r="L993" s="3"/>
      <c r="M993" t="inlineStr">
        <is>
          <t>1</t>
        </is>
      </c>
      <c r="N993" t="inlineStr">
        <is>
          <t>Apple</t>
        </is>
      </c>
      <c r="O993"/>
    </row>
    <row r="994" ht="12.75" customHeight="1">
      <c r="A994" t="inlineStr">
        <is>
          <t>Apple เตรียมเปิดตัวผลิตภัณฑ์ Home ใหม่ 2 รุ่น คือ Apple TV และ HomePod</t>
        </is>
      </c>
      <c r="B994" t="inlineStr">
        <is>
          <t>Sasithakan Sritonthip</t>
        </is>
      </c>
      <c r="C994" s="2">
        <v>45909</v>
      </c>
      <c r="D994" s="2"/>
      <c r="E994" t="inlineStr">
        <is>
          <t>ปกติ</t>
        </is>
      </c>
      <c r="F994" s="3" t="str">
        <f>=HYPERLINK("https://9to5mac.com/2025/09/08/apples-two-new-home-products-soon-apple-tv-homepod/", "https://9to5mac.com/2025/09/08/apples-two-new-home-products-soon-apple-tv-homepod/")</f>
        <v>https://9to5mac.com/2025/09/08/apples-two-new-home-products-soon-apple-tv-homepod/</v>
      </c>
      <c r="G994"/>
      <c r="H994" t="inlineStr">
        <is>
          <t>Website</t>
        </is>
      </c>
      <c r="I994" t="inlineStr">
        <is>
          <t>งานประจำวัน</t>
        </is>
      </c>
      <c r="J994" t="inlineStr">
        <is>
          <t>Done</t>
        </is>
      </c>
      <c r="K994"/>
      <c r="L994" s="3"/>
      <c r="M994" t="inlineStr">
        <is>
          <t>1</t>
        </is>
      </c>
      <c r="N994" t="inlineStr">
        <is>
          <t>Apple</t>
        </is>
      </c>
      <c r="O994"/>
    </row>
    <row r="995" ht="12.75" customHeight="1">
      <c r="A995" t="inlineStr">
        <is>
          <t>vivo X300 Pro จะมาพร้อมหน้าจอแบน ขอบบาง</t>
        </is>
      </c>
      <c r="B995" t="inlineStr">
        <is>
          <t>Saktaphat Kordjan</t>
        </is>
      </c>
      <c r="C995" s="2">
        <v>45909</v>
      </c>
      <c r="D995" s="2"/>
      <c r="E995" t="inlineStr">
        <is>
          <t>ปกติ</t>
        </is>
      </c>
      <c r="F995" s="3"/>
      <c r="G995"/>
      <c r="H995" t="inlineStr">
        <is>
          <t>Website</t>
        </is>
      </c>
      <c r="I995" t="inlineStr">
        <is>
          <t>งานประจำวัน</t>
        </is>
      </c>
      <c r="J995" t="inlineStr">
        <is>
          <t>Done</t>
        </is>
      </c>
      <c r="K995"/>
      <c r="L995" s="3"/>
      <c r="M995" t="inlineStr">
        <is>
          <t>1</t>
        </is>
      </c>
      <c r="N995" t="inlineStr">
        <is>
          <t>Android</t>
        </is>
      </c>
      <c r="O995"/>
    </row>
    <row r="996" ht="12.75" customHeight="1">
      <c r="A996" t="inlineStr">
        <is>
          <t>Spotify ฟีเจอร์ใหม่ "Smart Filters" จัดสรรเพลงในย์ลิสต์ได้ตามต้องการ</t>
        </is>
      </c>
      <c r="B996" t="inlineStr">
        <is>
          <t>Sasithakan Sritonthip</t>
        </is>
      </c>
      <c r="C996" s="2">
        <v>45909</v>
      </c>
      <c r="D996" s="2"/>
      <c r="E996" t="inlineStr">
        <is>
          <t>ปกติ</t>
        </is>
      </c>
      <c r="F996" s="3" t="str">
        <f>=HYPERLINK("https://9to5mac.com/2025/09/08/spotify-premium-subscribers-get-smart-filters-for-playlists-audiobooks-and-podcasts/", "https://9to5mac.com/2025/09/08/spotify-premium-subscribers-get-smart-filters-for-playlists-audiobooks-and-podcasts/")</f>
        <v>https://9to5mac.com/2025/09/08/spotify-premium-subscribers-get-smart-filters-for-playlists-audiobooks-and-podcasts/</v>
      </c>
      <c r="G996"/>
      <c r="H996" t="inlineStr">
        <is>
          <t>Website</t>
        </is>
      </c>
      <c r="I996" t="inlineStr">
        <is>
          <t>งานประจำวัน</t>
        </is>
      </c>
      <c r="J996" t="inlineStr">
        <is>
          <t>Done</t>
        </is>
      </c>
      <c r="K996"/>
      <c r="L996" s="3"/>
      <c r="M996" t="inlineStr">
        <is>
          <t>1</t>
        </is>
      </c>
      <c r="N996" t="inlineStr">
        <is>
          <t>Tech</t>
        </is>
      </c>
      <c r="O996"/>
    </row>
    <row r="997" ht="12.75" customHeight="1">
      <c r="A997" t="inlineStr">
        <is>
          <t>Google เริ่มแก้ปัญหา "หน้าจอหิมะ" ของ Pixel 10</t>
        </is>
      </c>
      <c r="B997" t="inlineStr">
        <is>
          <t>Saktaphat Kordjan</t>
        </is>
      </c>
      <c r="C997" s="2">
        <v>45909</v>
      </c>
      <c r="D997" s="2"/>
      <c r="E997" t="inlineStr">
        <is>
          <t>ปกติ</t>
        </is>
      </c>
      <c r="F997" s="3"/>
      <c r="G997"/>
      <c r="H997" t="inlineStr">
        <is>
          <t>Website</t>
        </is>
      </c>
      <c r="I997" t="inlineStr">
        <is>
          <t>งานประจำวัน</t>
        </is>
      </c>
      <c r="J997" t="inlineStr">
        <is>
          <t>Done</t>
        </is>
      </c>
      <c r="K997"/>
      <c r="L997" s="3"/>
      <c r="M997" t="inlineStr">
        <is>
          <t>1</t>
        </is>
      </c>
      <c r="N997" t="inlineStr">
        <is>
          <t>Android</t>
        </is>
      </c>
      <c r="O997"/>
    </row>
    <row r="998" ht="12.75" customHeight="1">
      <c r="A998" t="inlineStr">
        <is>
          <t xml:space="preserve">HUAWEI Watch GT6 Pro </t>
        </is>
      </c>
      <c r="B998" t="inlineStr">
        <is>
          <t>Saktaphat Kordjan</t>
        </is>
      </c>
      <c r="C998" s="2">
        <v>45909</v>
      </c>
      <c r="D998" s="2"/>
      <c r="E998" t="inlineStr">
        <is>
          <t>ด่วน!</t>
        </is>
      </c>
      <c r="F998" s="3"/>
      <c r="G998"/>
      <c r="H998" t="inlineStr">
        <is>
          <t>Shorts</t>
        </is>
      </c>
      <c r="I998" t="inlineStr">
        <is>
          <t>งานลูกค้า</t>
        </is>
      </c>
      <c r="J998" t="inlineStr">
        <is>
          <t>Done</t>
        </is>
      </c>
      <c r="K998"/>
      <c r="L998" s="3"/>
      <c r="M998" t="inlineStr">
        <is>
          <t>1</t>
        </is>
      </c>
      <c r="N998" t="inlineStr">
        <is>
          <t>ลูกค้า</t>
        </is>
      </c>
      <c r="O998" t="inlineStr">
        <is>
          <t>Huawei</t>
        </is>
      </c>
    </row>
    <row r="999" ht="12.75" customHeight="1">
      <c r="A999" t="inlineStr">
        <is>
          <t>Samsung เผยคำใบ้เกี่ยวกับการเปิดตัว Galaxy Z TriFold</t>
        </is>
      </c>
      <c r="B999" t="inlineStr">
        <is>
          <t>Saktaphat Kordjan</t>
        </is>
      </c>
      <c r="C999" s="2">
        <v>45909</v>
      </c>
      <c r="D999" s="2"/>
      <c r="E999" t="inlineStr">
        <is>
          <t>ปกติ</t>
        </is>
      </c>
      <c r="F999" s="3"/>
      <c r="G999"/>
      <c r="H999" t="inlineStr">
        <is>
          <t>Website</t>
        </is>
      </c>
      <c r="I999" t="inlineStr">
        <is>
          <t>งานประจำวัน</t>
        </is>
      </c>
      <c r="J999" t="inlineStr">
        <is>
          <t>Done</t>
        </is>
      </c>
      <c r="K999"/>
      <c r="L999" s="3"/>
      <c r="M999" t="inlineStr">
        <is>
          <t>1</t>
        </is>
      </c>
      <c r="N999" t="inlineStr">
        <is>
          <t>Android</t>
        </is>
      </c>
      <c r="O999"/>
    </row>
    <row r="1000" ht="12.75" customHeight="1">
      <c r="A1000" t="inlineStr">
        <is>
          <t>สรุปข่าวลือก่อนเปิดตัว iPhone 17</t>
        </is>
      </c>
      <c r="B1000" t="inlineStr">
        <is>
          <t>Nattida Suriyodara,Thitirath Kinaret</t>
        </is>
      </c>
      <c r="C1000" s="2">
        <v>45908</v>
      </c>
      <c r="D1000" s="2">
        <v>45908</v>
      </c>
      <c r="E1000" t="inlineStr">
        <is>
          <t>ปกติ</t>
        </is>
      </c>
      <c r="F1000" s="3"/>
      <c r="G1000"/>
      <c r="H1000" t="inlineStr">
        <is>
          <t>YouTube</t>
        </is>
      </c>
      <c r="I1000" t="inlineStr">
        <is>
          <t>งานประจำวัน</t>
        </is>
      </c>
      <c r="J1000" t="inlineStr">
        <is>
          <t>Done</t>
        </is>
      </c>
      <c r="K1000"/>
      <c r="L1000" s="3"/>
      <c r="M1000" t="inlineStr">
        <is>
          <t>1</t>
        </is>
      </c>
      <c r="N1000" t="inlineStr">
        <is>
          <t>Apple</t>
        </is>
      </c>
      <c r="O1000"/>
    </row>
    <row r="1001" ht="12.75" customHeight="1">
      <c r="A1001" t="inlineStr">
        <is>
          <t>Nothing Ear (3) กำลังจะเปิดตัว</t>
        </is>
      </c>
      <c r="B1001" t="inlineStr">
        <is>
          <t>Saktaphat Kordjan</t>
        </is>
      </c>
      <c r="C1001" s="2">
        <v>45908</v>
      </c>
      <c r="D1001" s="2"/>
      <c r="E1001" t="inlineStr">
        <is>
          <t>ปกติ</t>
        </is>
      </c>
      <c r="F1001" s="3"/>
      <c r="G1001"/>
      <c r="H1001" t="inlineStr">
        <is>
          <t>Website</t>
        </is>
      </c>
      <c r="I1001" t="inlineStr">
        <is>
          <t>งานประจำวัน</t>
        </is>
      </c>
      <c r="J1001" t="inlineStr">
        <is>
          <t>Done</t>
        </is>
      </c>
      <c r="K1001"/>
      <c r="L1001" s="3"/>
      <c r="M1001" t="inlineStr">
        <is>
          <t>1</t>
        </is>
      </c>
      <c r="N1001" t="inlineStr">
        <is>
          <t>Android, Tech</t>
        </is>
      </c>
      <c r="O1001"/>
    </row>
    <row r="1002" ht="12.75" customHeight="1">
      <c r="A1002" t="inlineStr">
        <is>
          <t>Gemini Chatbot ถูกจัดอันดับว่ามีความเสี่ยงสูงสำหรับเด็ก</t>
        </is>
      </c>
      <c r="B1002" t="inlineStr">
        <is>
          <t>Nattida Suriyodara</t>
        </is>
      </c>
      <c r="C1002" s="2">
        <v>45908</v>
      </c>
      <c r="D1002" s="2"/>
      <c r="E1002" t="inlineStr">
        <is>
          <t>ปกติ</t>
        </is>
      </c>
      <c r="F1002" s="3" t="str">
        <f>=HYPERLINK("https://www.webpronews.com/googles-gemini-chatbot-rated-high-risk-for-kids-over-safety-lapses/", "https://www.webpronews.com/googles-gemini-chatbot-rated-high-risk-for-kids-over-safety-lapses/")</f>
        <v>https://www.webpronews.com/googles-gemini-chatbot-rated-high-risk-for-kids-over-safety-lapses/</v>
      </c>
      <c r="G1002"/>
      <c r="H1002" t="inlineStr">
        <is>
          <t>Website</t>
        </is>
      </c>
      <c r="I1002" t="inlineStr">
        <is>
          <t>งานประจำวัน</t>
        </is>
      </c>
      <c r="J1002" t="inlineStr">
        <is>
          <t>Done</t>
        </is>
      </c>
      <c r="K1002"/>
      <c r="L1002" s="3"/>
      <c r="M1002" t="inlineStr">
        <is>
          <t>1</t>
        </is>
      </c>
      <c r="N1002" t="inlineStr">
        <is>
          <t>AI</t>
        </is>
      </c>
      <c r="O1002"/>
    </row>
    <row r="1003" ht="12.75" customHeight="1">
      <c r="A1003" t="inlineStr">
        <is>
          <t>เครื่องตัดหญ้าอัตโนมัติที่ถูกออกแบบมาให้เก็บผลไม้และโยนลูกบอลให้สุนัข</t>
        </is>
      </c>
      <c r="B1003" t="inlineStr">
        <is>
          <t>Saktaphat Kordjan</t>
        </is>
      </c>
      <c r="C1003" s="2">
        <v>45908</v>
      </c>
      <c r="D1003" s="2"/>
      <c r="E1003" t="inlineStr">
        <is>
          <t>ปกติ</t>
        </is>
      </c>
      <c r="F1003" s="3"/>
      <c r="G1003"/>
      <c r="H1003" t="inlineStr">
        <is>
          <t>Website</t>
        </is>
      </c>
      <c r="I1003" t="inlineStr">
        <is>
          <t>งานประจำวัน</t>
        </is>
      </c>
      <c r="J1003" t="inlineStr">
        <is>
          <t>Done</t>
        </is>
      </c>
      <c r="K1003"/>
      <c r="L1003" s="3"/>
      <c r="M1003" t="inlineStr">
        <is>
          <t>1</t>
        </is>
      </c>
      <c r="N1003" t="inlineStr">
        <is>
          <t>Tech</t>
        </is>
      </c>
      <c r="O1003"/>
    </row>
    <row r="1004" ht="12.75" customHeight="1">
      <c r="A1004" t="inlineStr">
        <is>
          <t>ร่วมลงรายชื่อรอ (Waitlist) สำหรับ iPhone 17 ของ CASETiFY ก่อนใครได้แล้ววันนี้</t>
        </is>
      </c>
      <c r="B1004" t="inlineStr">
        <is>
          <t>Saktaphat Kordjan</t>
        </is>
      </c>
      <c r="C1004" s="2">
        <v>45908</v>
      </c>
      <c r="D1004" s="2"/>
      <c r="E1004" t="inlineStr">
        <is>
          <t>ปกติ</t>
        </is>
      </c>
      <c r="F1004" s="3"/>
      <c r="G1004"/>
      <c r="H1004" t="inlineStr">
        <is>
          <t>Website</t>
        </is>
      </c>
      <c r="I1004" t="inlineStr">
        <is>
          <t>งานประจำวัน</t>
        </is>
      </c>
      <c r="J1004" t="inlineStr">
        <is>
          <t>Done</t>
        </is>
      </c>
      <c r="K1004"/>
      <c r="L1004" s="3"/>
      <c r="M1004" t="inlineStr">
        <is>
          <t>1</t>
        </is>
      </c>
      <c r="N1004" t="inlineStr">
        <is>
          <t>PR</t>
        </is>
      </c>
      <c r="O1004"/>
    </row>
    <row r="1005" ht="12.75" customHeight="1">
      <c r="A1005" t="inlineStr">
        <is>
          <t>iPhone 16 เตรียมตกรุ่น</t>
        </is>
      </c>
      <c r="B1005" t="inlineStr">
        <is>
          <t>Nattida Suriyodara,Sasithakan Sritonthip</t>
        </is>
      </c>
      <c r="C1005" s="2">
        <v>45908</v>
      </c>
      <c r="D1005" s="2"/>
      <c r="E1005" t="inlineStr">
        <is>
          <t>ปกติ</t>
        </is>
      </c>
      <c r="F1005" s="3"/>
      <c r="G1005"/>
      <c r="H1005" t="inlineStr">
        <is>
          <t>Shorts</t>
        </is>
      </c>
      <c r="I1005" t="inlineStr">
        <is>
          <t>งานประจำวัน</t>
        </is>
      </c>
      <c r="J1005" t="inlineStr">
        <is>
          <t>Done</t>
        </is>
      </c>
      <c r="K1005"/>
      <c r="L1005" s="3"/>
      <c r="M1005" t="inlineStr">
        <is>
          <t>1</t>
        </is>
      </c>
      <c r="N1005" t="inlineStr">
        <is>
          <t>Apple</t>
        </is>
      </c>
      <c r="O1005"/>
    </row>
    <row r="1006" ht="12.75" customHeight="1">
      <c r="A1006" t="inlineStr">
        <is>
          <t>iMoD - Awe dropping Expectation</t>
        </is>
      </c>
      <c r="B1006" t="inlineStr">
        <is>
          <t>Thitirath Kinaret,Sasithakan Sritonthip</t>
        </is>
      </c>
      <c r="C1006" s="2">
        <v>45908</v>
      </c>
      <c r="D1006" s="2"/>
      <c r="E1006" t="inlineStr">
        <is>
          <t>ปกติ</t>
        </is>
      </c>
      <c r="F1006" s="3"/>
      <c r="G1006"/>
      <c r="H1006" t="inlineStr">
        <is>
          <t>Shorts</t>
        </is>
      </c>
      <c r="I1006" t="inlineStr">
        <is>
          <t>งานประจำวัน</t>
        </is>
      </c>
      <c r="J1006" t="inlineStr">
        <is>
          <t>Done</t>
        </is>
      </c>
      <c r="K1006"/>
      <c r="L1006" s="3"/>
      <c r="M1006" t="inlineStr">
        <is>
          <t>1</t>
        </is>
      </c>
      <c r="N1006" t="inlineStr">
        <is>
          <t>Apple</t>
        </is>
      </c>
      <c r="O1006"/>
    </row>
    <row r="1007" ht="12.75" customHeight="1">
      <c r="A1007" t="inlineStr">
        <is>
          <t>Lenovo แล็ปท็อป ที่หมุน หน้าจอเป็นแนวตั้งได้</t>
        </is>
      </c>
      <c r="B1007" t="inlineStr">
        <is>
          <t>Sasithakan Sritonthip</t>
        </is>
      </c>
      <c r="C1007" s="2">
        <v>45908</v>
      </c>
      <c r="D1007" s="2"/>
      <c r="E1007" t="inlineStr">
        <is>
          <t>ปกติ</t>
        </is>
      </c>
      <c r="F1007" s="3" t="str">
        <f>=HYPERLINK("https://arstechnica.com/gadgets/2025/09/lenovo-demos-laptop-with-a-screen-you-can-swivel-into-portrait-mode/", "https://arstechnica.com/gadgets/2025/09/lenovo-demos-laptop-with-a-screen-you-can-swivel-into-portrait-mode/")</f>
        <v>https://arstechnica.com/gadgets/2025/09/lenovo-demos-laptop-with-a-screen-you-can-swivel-into-portrait-mode/</v>
      </c>
      <c r="G1007"/>
      <c r="H1007" t="inlineStr">
        <is>
          <t>Website</t>
        </is>
      </c>
      <c r="I1007" t="inlineStr">
        <is>
          <t>งานประจำวัน</t>
        </is>
      </c>
      <c r="J1007" t="inlineStr">
        <is>
          <t>Done</t>
        </is>
      </c>
      <c r="K1007"/>
      <c r="L1007" s="3"/>
      <c r="M1007" t="inlineStr">
        <is>
          <t>1</t>
        </is>
      </c>
      <c r="N1007" t="inlineStr">
        <is>
          <t>Tech</t>
        </is>
      </c>
      <c r="O1007"/>
    </row>
    <row r="1008" ht="12.75" customHeight="1">
      <c r="A1008" t="inlineStr">
        <is>
          <t>Google ขายสินค้าลิขสิทธิ์พิเศษ Pixel 10</t>
        </is>
      </c>
      <c r="B1008" t="inlineStr">
        <is>
          <t>Sasithakan Sritonthip</t>
        </is>
      </c>
      <c r="C1008" s="2">
        <v>45908</v>
      </c>
      <c r="D1008" s="2"/>
      <c r="E1008" t="inlineStr">
        <is>
          <t>ปกติ</t>
        </is>
      </c>
      <c r="F1008" s="3" t="str">
        <f>=HYPERLINK("https://9to5google.com/2025/09/04/pixel-10-merchandise/", "https://9to5google.com/2025/09/04/pixel-10-merchandise/")</f>
        <v>https://9to5google.com/2025/09/04/pixel-10-merchandise/</v>
      </c>
      <c r="G1008"/>
      <c r="H1008" t="inlineStr">
        <is>
          <t>Website</t>
        </is>
      </c>
      <c r="I1008" t="inlineStr">
        <is>
          <t>งานประจำวัน</t>
        </is>
      </c>
      <c r="J1008" t="inlineStr">
        <is>
          <t>Done</t>
        </is>
      </c>
      <c r="K1008"/>
      <c r="L1008" s="3"/>
      <c r="M1008" t="inlineStr">
        <is>
          <t>1</t>
        </is>
      </c>
      <c r="N1008" t="inlineStr">
        <is>
          <t>Android</t>
        </is>
      </c>
      <c r="O1008"/>
    </row>
    <row r="1009" ht="12.75" customHeight="1">
      <c r="A1009" t="inlineStr">
        <is>
          <t xml:space="preserve">อัปเดตข่าวลือ S26 Series </t>
        </is>
      </c>
      <c r="B1009" t="inlineStr">
        <is>
          <t>Saktaphat Kordjan</t>
        </is>
      </c>
      <c r="C1009" s="2">
        <v>45908</v>
      </c>
      <c r="D1009" s="2"/>
      <c r="E1009" t="inlineStr">
        <is>
          <t>ปกติ</t>
        </is>
      </c>
      <c r="F1009" s="3"/>
      <c r="G1009"/>
      <c r="H1009" t="inlineStr">
        <is>
          <t>Shorts</t>
        </is>
      </c>
      <c r="I1009" t="inlineStr">
        <is>
          <t>งานประจำวัน</t>
        </is>
      </c>
      <c r="J1009" t="inlineStr">
        <is>
          <t>Done</t>
        </is>
      </c>
      <c r="K1009"/>
      <c r="L1009" s="3"/>
      <c r="M1009" t="inlineStr">
        <is>
          <t>1</t>
        </is>
      </c>
      <c r="N1009" t="inlineStr">
        <is>
          <t>Android</t>
        </is>
      </c>
      <c r="O1009"/>
    </row>
    <row r="1010" ht="12.75" customHeight="1">
      <c r="A1010" t="inlineStr">
        <is>
          <t>สิ่งที่คาดว่าจะมีใน Apple Watch SE 3</t>
        </is>
      </c>
      <c r="B1010" t="inlineStr">
        <is>
          <t>Nattida Suriyodara</t>
        </is>
      </c>
      <c r="C1010" s="2">
        <v>45905</v>
      </c>
      <c r="D1010" s="2"/>
      <c r="E1010" t="inlineStr">
        <is>
          <t>ปกติ</t>
        </is>
      </c>
      <c r="F1010" s="3" t="str">
        <f>=HYPERLINK("https://www.macrumors.com/guide/apple-watch-se-3-rumors/", "https://www.macrumors.com/guide/apple-watch-se-3-rumors/")</f>
        <v>https://www.macrumors.com/guide/apple-watch-se-3-rumors/</v>
      </c>
      <c r="G1010"/>
      <c r="H1010" t="inlineStr">
        <is>
          <t>Website</t>
        </is>
      </c>
      <c r="I1010" t="inlineStr">
        <is>
          <t>งานประจำวัน</t>
        </is>
      </c>
      <c r="J1010" t="inlineStr">
        <is>
          <t>Done</t>
        </is>
      </c>
      <c r="K1010"/>
      <c r="L1010" s="3"/>
      <c r="M1010" t="inlineStr">
        <is>
          <t>1</t>
        </is>
      </c>
      <c r="N1010" t="inlineStr">
        <is>
          <t>Apple</t>
        </is>
      </c>
      <c r="O1010"/>
    </row>
    <row r="1011" ht="12.75" customHeight="1">
      <c r="A1011" t="inlineStr">
        <is>
          <t>ข่าวลือ Apple Watch Series 11</t>
        </is>
      </c>
      <c r="B1011" t="inlineStr">
        <is>
          <t>Nattida Suriyodara</t>
        </is>
      </c>
      <c r="C1011" s="2">
        <v>45905</v>
      </c>
      <c r="D1011" s="2"/>
      <c r="E1011" t="inlineStr">
        <is>
          <t>ปกติ</t>
        </is>
      </c>
      <c r="F1011" s="3" t="str">
        <f>=HYPERLINK("https://www.macrumors.com", "https://www.macrumors.com")</f>
        <v>https://www.macrumors.com</v>
      </c>
      <c r="G1011"/>
      <c r="H1011" t="inlineStr">
        <is>
          <t>Website</t>
        </is>
      </c>
      <c r="I1011" t="inlineStr">
        <is>
          <t>งานประจำวัน</t>
        </is>
      </c>
      <c r="J1011" t="inlineStr">
        <is>
          <t>Done</t>
        </is>
      </c>
      <c r="K1011"/>
      <c r="L1011" s="3"/>
      <c r="M1011" t="inlineStr">
        <is>
          <t>1</t>
        </is>
      </c>
      <c r="N1011" t="inlineStr">
        <is>
          <t>Apple</t>
        </is>
      </c>
      <c r="O1011"/>
    </row>
    <row r="1012" ht="12.75" customHeight="1">
      <c r="A1012" t="inlineStr">
        <is>
          <t>ภาพเครื่องจำลอง Galaxy S26 เผยให้เห็นดีไซน์ของรุ่นใหม่</t>
        </is>
      </c>
      <c r="B1012" t="inlineStr">
        <is>
          <t>Saktaphat Kordjan</t>
        </is>
      </c>
      <c r="C1012" s="2">
        <v>45905</v>
      </c>
      <c r="D1012" s="2"/>
      <c r="E1012" t="inlineStr">
        <is>
          <t>ปกติ</t>
        </is>
      </c>
      <c r="F1012" s="3"/>
      <c r="G1012"/>
      <c r="H1012" t="inlineStr">
        <is>
          <t>Pic Posts / Album, Website</t>
        </is>
      </c>
      <c r="I1012" t="inlineStr">
        <is>
          <t>งานประจำวัน</t>
        </is>
      </c>
      <c r="J1012" t="inlineStr">
        <is>
          <t>Done</t>
        </is>
      </c>
      <c r="K1012"/>
      <c r="L1012" s="3"/>
      <c r="M1012" t="inlineStr">
        <is>
          <t>1</t>
        </is>
      </c>
      <c r="N1012" t="inlineStr">
        <is>
          <t>Android</t>
        </is>
      </c>
      <c r="O1012"/>
    </row>
    <row r="1013" ht="12.75" customHeight="1">
      <c r="A1013" t="inlineStr">
        <is>
          <t xml:space="preserve">สรุปสเปค Galaxy Tab S11 </t>
        </is>
      </c>
      <c r="B1013" t="inlineStr">
        <is>
          <t>Saktaphat Kordjan</t>
        </is>
      </c>
      <c r="C1013" s="2">
        <v>45905</v>
      </c>
      <c r="D1013" s="2"/>
      <c r="E1013" t="inlineStr">
        <is>
          <t>ปกติ</t>
        </is>
      </c>
      <c r="F1013" s="3"/>
      <c r="G1013"/>
      <c r="H1013" t="inlineStr">
        <is>
          <t>Pic Posts / Album, Website</t>
        </is>
      </c>
      <c r="I1013" t="inlineStr">
        <is>
          <t>เสนอไอเดีย</t>
        </is>
      </c>
      <c r="J1013" t="inlineStr">
        <is>
          <t>Done</t>
        </is>
      </c>
      <c r="K1013"/>
      <c r="L1013" s="3"/>
      <c r="M1013" t="inlineStr">
        <is>
          <t>1</t>
        </is>
      </c>
      <c r="N1013" t="inlineStr">
        <is>
          <t>Android</t>
        </is>
      </c>
      <c r="O1013"/>
    </row>
    <row r="1014" ht="12.75" customHeight="1">
      <c r="A1014" t="inlineStr">
        <is>
          <t>Apple Watch SE 3 อาจไม่ใช้ตัวเรือนพลาสติกแล้ว</t>
        </is>
      </c>
      <c r="B1014" t="inlineStr">
        <is>
          <t>Nattida Suriyodara</t>
        </is>
      </c>
      <c r="C1014" s="2">
        <v>45905</v>
      </c>
      <c r="D1014" s="2"/>
      <c r="E1014" t="inlineStr">
        <is>
          <t>ปกติ</t>
        </is>
      </c>
      <c r="F1014" s="3"/>
      <c r="G1014"/>
      <c r="H1014" t="inlineStr">
        <is>
          <t>Pic Posts / Album</t>
        </is>
      </c>
      <c r="I1014" t="inlineStr">
        <is>
          <t>งานประจำวัน</t>
        </is>
      </c>
      <c r="J1014" t="inlineStr">
        <is>
          <t>Done</t>
        </is>
      </c>
      <c r="K1014"/>
      <c r="L1014" s="3"/>
      <c r="M1014" t="inlineStr">
        <is>
          <t>1</t>
        </is>
      </c>
      <c r="N1014" t="inlineStr">
        <is>
          <t>Apple</t>
        </is>
      </c>
      <c r="O1014"/>
    </row>
    <row r="1015" ht="12.75" customHeight="1">
      <c r="A1015" t="inlineStr">
        <is>
          <t>แอป Adobe Premiere เปิดตัวบน iPhone และ iPad ในปลายเดือนนี้</t>
        </is>
      </c>
      <c r="B1015" t="inlineStr">
        <is>
          <t>Nattida Suriyodara</t>
        </is>
      </c>
      <c r="C1015" s="2">
        <v>45905</v>
      </c>
      <c r="D1015" s="2"/>
      <c r="E1015" t="inlineStr">
        <is>
          <t>ปกติ</t>
        </is>
      </c>
      <c r="F1015" s="3" t="str">
        <f>=HYPERLINK("https://www.macrumors.com/2025/09/04/adobe-premiere-for-iphone/", "https://www.macrumors.com/2025/09/04/adobe-premiere-for-iphone/")</f>
        <v>https://www.macrumors.com/2025/09/04/adobe-premiere-for-iphone/</v>
      </c>
      <c r="G1015"/>
      <c r="H1015" t="inlineStr">
        <is>
          <t>Website</t>
        </is>
      </c>
      <c r="I1015" t="inlineStr">
        <is>
          <t>งานประจำวัน</t>
        </is>
      </c>
      <c r="J1015" t="inlineStr">
        <is>
          <t>Done</t>
        </is>
      </c>
      <c r="K1015"/>
      <c r="L1015" s="3"/>
      <c r="M1015" t="inlineStr">
        <is>
          <t>1</t>
        </is>
      </c>
      <c r="N1015" t="inlineStr">
        <is>
          <t>Apple</t>
        </is>
      </c>
      <c r="O1015"/>
    </row>
    <row r="1016" ht="12.75" customHeight="1">
      <c r="A1016" t="inlineStr">
        <is>
          <t>S Pen รุ่นใหม่ โดนแซว ดูเหมือน Apple Pencil</t>
        </is>
      </c>
      <c r="B1016" t="inlineStr">
        <is>
          <t>Saktaphat Kordjan</t>
        </is>
      </c>
      <c r="C1016" s="2">
        <v>45905</v>
      </c>
      <c r="D1016" s="2"/>
      <c r="E1016" t="inlineStr">
        <is>
          <t>ปกติ</t>
        </is>
      </c>
      <c r="F1016" s="3"/>
      <c r="G1016"/>
      <c r="H1016" t="inlineStr">
        <is>
          <t>Pic Posts / Album, Website</t>
        </is>
      </c>
      <c r="I1016" t="inlineStr">
        <is>
          <t>งานประจำวัน</t>
        </is>
      </c>
      <c r="J1016" t="inlineStr">
        <is>
          <t>Done</t>
        </is>
      </c>
      <c r="K1016"/>
      <c r="L1016" s="3"/>
      <c r="M1016" t="inlineStr">
        <is>
          <t>1</t>
        </is>
      </c>
      <c r="N1016" t="inlineStr">
        <is>
          <t>Android</t>
        </is>
      </c>
      <c r="O1016"/>
    </row>
    <row r="1017" ht="12.75" customHeight="1">
      <c r="A1017" t="inlineStr">
        <is>
          <t>vivo X300 Ultra อาจเป็นรุ่นแรกของโลกที่มีกล้อง 200MP สองตัว</t>
        </is>
      </c>
      <c r="B1017" t="inlineStr">
        <is>
          <t>Saktaphat Kordjan</t>
        </is>
      </c>
      <c r="C1017" s="2">
        <v>45905</v>
      </c>
      <c r="D1017" s="2"/>
      <c r="E1017" t="inlineStr">
        <is>
          <t>ปกติ</t>
        </is>
      </c>
      <c r="F1017" s="3"/>
      <c r="G1017"/>
      <c r="H1017" t="inlineStr">
        <is>
          <t>Website</t>
        </is>
      </c>
      <c r="I1017" t="inlineStr">
        <is>
          <t>งานประจำวัน</t>
        </is>
      </c>
      <c r="J1017" t="inlineStr">
        <is>
          <t>Done</t>
        </is>
      </c>
      <c r="K1017"/>
      <c r="L1017" s="3"/>
      <c r="M1017" t="inlineStr">
        <is>
          <t>1</t>
        </is>
      </c>
      <c r="N1017" t="inlineStr">
        <is>
          <t>Android</t>
        </is>
      </c>
      <c r="O1017"/>
    </row>
    <row r="1018" ht="12.75" customHeight="1">
      <c r="A1018" t="inlineStr">
        <is>
          <t>Strava Apple Watch</t>
        </is>
      </c>
      <c r="B1018" t="inlineStr">
        <is>
          <t>Nattida Suriyodara</t>
        </is>
      </c>
      <c r="C1018" s="2">
        <v>45905</v>
      </c>
      <c r="D1018" s="2"/>
      <c r="E1018" t="inlineStr">
        <is>
          <t>ปกติ</t>
        </is>
      </c>
      <c r="F1018" s="3"/>
      <c r="G1018"/>
      <c r="H1018" t="inlineStr">
        <is>
          <t>Website</t>
        </is>
      </c>
      <c r="I1018" t="inlineStr">
        <is>
          <t>งานประจำวัน</t>
        </is>
      </c>
      <c r="J1018" t="inlineStr">
        <is>
          <t>Done</t>
        </is>
      </c>
      <c r="K1018"/>
      <c r="L1018" s="3"/>
      <c r="M1018" t="inlineStr">
        <is>
          <t>1</t>
        </is>
      </c>
      <c r="N1018" t="inlineStr">
        <is>
          <t>Apple</t>
        </is>
      </c>
      <c r="O1018"/>
    </row>
    <row r="1019" ht="12.75" customHeight="1">
      <c r="A1019" t="inlineStr">
        <is>
          <t xml:space="preserve">สรุปงาน Galaxy Event 4 ก.ย. 2025 </t>
        </is>
      </c>
      <c r="B1019" t="inlineStr">
        <is>
          <t>Saktaphat Kordjan</t>
        </is>
      </c>
      <c r="C1019" s="2">
        <v>45904</v>
      </c>
      <c r="D1019" s="2"/>
      <c r="E1019" t="inlineStr">
        <is>
          <t>ปกติ</t>
        </is>
      </c>
      <c r="F1019" s="3"/>
      <c r="G1019"/>
      <c r="H1019" t="inlineStr">
        <is>
          <t>Website</t>
        </is>
      </c>
      <c r="I1019" t="inlineStr">
        <is>
          <t>เสนอไอเดีย</t>
        </is>
      </c>
      <c r="J1019" t="inlineStr">
        <is>
          <t>Done</t>
        </is>
      </c>
      <c r="K1019"/>
      <c r="L1019" s="3"/>
      <c r="M1019" t="inlineStr">
        <is>
          <t>1</t>
        </is>
      </c>
      <c r="N1019" t="inlineStr">
        <is>
          <t>Android</t>
        </is>
      </c>
      <c r="O1019"/>
    </row>
    <row r="1020" ht="12.75" customHeight="1">
      <c r="A1020" t="inlineStr">
        <is>
          <t xml:space="preserve">IG บน iPad </t>
        </is>
      </c>
      <c r="B1020" t="inlineStr">
        <is>
          <t>Nattida Suriyodara</t>
        </is>
      </c>
      <c r="C1020" s="2">
        <v>45904</v>
      </c>
      <c r="D1020" s="2"/>
      <c r="E1020" t="inlineStr">
        <is>
          <t>ด่วน!</t>
        </is>
      </c>
      <c r="F1020" s="3"/>
      <c r="G1020"/>
      <c r="H1020" t="inlineStr">
        <is>
          <t>Shorts</t>
        </is>
      </c>
      <c r="I1020" t="inlineStr">
        <is>
          <t>งานประจำวัน</t>
        </is>
      </c>
      <c r="J1020" t="inlineStr">
        <is>
          <t>Done</t>
        </is>
      </c>
      <c r="K1020"/>
      <c r="L1020" s="3"/>
      <c r="M1020" t="inlineStr">
        <is>
          <t>1</t>
        </is>
      </c>
      <c r="N1020" t="inlineStr">
        <is>
          <t>ทั่วไป</t>
        </is>
      </c>
      <c r="O1020"/>
    </row>
    <row r="1021" ht="12.75" customHeight="1">
      <c r="A1021" t="inlineStr">
        <is>
          <t>IG เวอร์ชัน App บน iPad มาแล้ว!</t>
        </is>
      </c>
      <c r="B1021" t="inlineStr">
        <is>
          <t>Nattida Suriyodara</t>
        </is>
      </c>
      <c r="C1021" s="2">
        <v>45904</v>
      </c>
      <c r="D1021" s="2"/>
      <c r="E1021" t="inlineStr">
        <is>
          <t>ด่วน!</t>
        </is>
      </c>
      <c r="F1021" s="3"/>
      <c r="G1021"/>
      <c r="H1021" t="inlineStr">
        <is>
          <t>YouTube</t>
        </is>
      </c>
      <c r="I1021" t="inlineStr">
        <is>
          <t>งานประจำวัน</t>
        </is>
      </c>
      <c r="J1021" t="inlineStr">
        <is>
          <t>Done</t>
        </is>
      </c>
      <c r="K1021"/>
      <c r="L1021" s="3"/>
      <c r="M1021" t="inlineStr">
        <is>
          <t>1</t>
        </is>
      </c>
      <c r="N1021" t="inlineStr">
        <is>
          <t>ทั่วไป</t>
        </is>
      </c>
      <c r="O1021"/>
    </row>
    <row r="1022" ht="12.75" customHeight="1">
      <c r="A1022" t="inlineStr">
        <is>
          <t>Xiaomi 16 Ultra จะมีโลโก้ Leica ที่โดดเด่นมาก</t>
        </is>
      </c>
      <c r="B1022" t="inlineStr">
        <is>
          <t>Saktaphat Kordjan</t>
        </is>
      </c>
      <c r="C1022" s="2">
        <v>45904</v>
      </c>
      <c r="D1022" s="2"/>
      <c r="E1022" t="inlineStr">
        <is>
          <t>ปกติ</t>
        </is>
      </c>
      <c r="F1022" s="3"/>
      <c r="G1022"/>
      <c r="H1022" t="inlineStr">
        <is>
          <t>Website</t>
        </is>
      </c>
      <c r="I1022" t="inlineStr">
        <is>
          <t>งานประจำวัน</t>
        </is>
      </c>
      <c r="J1022" t="inlineStr">
        <is>
          <t>Done</t>
        </is>
      </c>
      <c r="K1022"/>
      <c r="L1022" s="3"/>
      <c r="M1022" t="inlineStr">
        <is>
          <t>1</t>
        </is>
      </c>
      <c r="N1022" t="inlineStr">
        <is>
          <t>Android</t>
        </is>
      </c>
      <c r="O1022"/>
    </row>
    <row r="1023" ht="12.75" customHeight="1">
      <c r="A1023" t="inlineStr">
        <is>
          <t>Samsung เปิดตัวเครื่องซัก-อบคอมโบ ในอินเดีย</t>
        </is>
      </c>
      <c r="B1023" t="inlineStr">
        <is>
          <t>Saktaphat Kordjan</t>
        </is>
      </c>
      <c r="C1023" s="2">
        <v>45904</v>
      </c>
      <c r="D1023" s="2"/>
      <c r="E1023" t="inlineStr">
        <is>
          <t>ปกติ</t>
        </is>
      </c>
      <c r="F1023" s="3"/>
      <c r="G1023"/>
      <c r="H1023" t="inlineStr">
        <is>
          <t>Website</t>
        </is>
      </c>
      <c r="I1023" t="inlineStr">
        <is>
          <t>งานประจำวัน</t>
        </is>
      </c>
      <c r="J1023" t="inlineStr">
        <is>
          <t>Done</t>
        </is>
      </c>
      <c r="K1023"/>
      <c r="L1023" s="3"/>
      <c r="M1023" t="inlineStr">
        <is>
          <t>1</t>
        </is>
      </c>
      <c r="N1023" t="inlineStr">
        <is>
          <t>Tech</t>
        </is>
      </c>
      <c r="O1023"/>
    </row>
    <row r="1024" ht="12.75" customHeight="1">
      <c r="A1024" t="inlineStr">
        <is>
          <t>Huawei เปิดตัว Mate XTs จอพับสามทบที่รองรับปากกา</t>
        </is>
      </c>
      <c r="B1024" t="inlineStr">
        <is>
          <t>Saktaphat Kordjan</t>
        </is>
      </c>
      <c r="C1024" s="2">
        <v>45904</v>
      </c>
      <c r="D1024" s="2"/>
      <c r="E1024" t="inlineStr">
        <is>
          <t>ด่วน!</t>
        </is>
      </c>
      <c r="F1024" s="3"/>
      <c r="G1024"/>
      <c r="H1024" t="inlineStr">
        <is>
          <t>Website</t>
        </is>
      </c>
      <c r="I1024" t="inlineStr">
        <is>
          <t>งานประจำวัน</t>
        </is>
      </c>
      <c r="J1024" t="inlineStr">
        <is>
          <t>Done</t>
        </is>
      </c>
      <c r="K1024"/>
      <c r="L1024" s="3"/>
      <c r="M1024" t="inlineStr">
        <is>
          <t>1</t>
        </is>
      </c>
      <c r="N1024" t="inlineStr">
        <is>
          <t>Android</t>
        </is>
      </c>
      <c r="O1024"/>
    </row>
    <row r="1025" ht="12.75" customHeight="1">
      <c r="A1025" t="inlineStr">
        <is>
          <t xml:space="preserve">แจก Prompt + วิธีสร้างรูปภาพ "อนุสาวรีย์" ด้วย Gemini </t>
        </is>
      </c>
      <c r="B1025" t="inlineStr">
        <is>
          <t>Nattida Suriyodara</t>
        </is>
      </c>
      <c r="C1025" s="2">
        <v>45904</v>
      </c>
      <c r="D1025" s="2"/>
      <c r="E1025" t="inlineStr">
        <is>
          <t>ปกติ</t>
        </is>
      </c>
      <c r="F1025" s="3"/>
      <c r="G1025"/>
      <c r="H1025" t="inlineStr">
        <is>
          <t>Website</t>
        </is>
      </c>
      <c r="I1025" t="inlineStr">
        <is>
          <t>งานประจำวัน</t>
        </is>
      </c>
      <c r="J1025" t="inlineStr">
        <is>
          <t>Done</t>
        </is>
      </c>
      <c r="K1025"/>
      <c r="L1025" s="3"/>
      <c r="M1025" t="inlineStr">
        <is>
          <t>1</t>
        </is>
      </c>
      <c r="N1025" t="inlineStr">
        <is>
          <t>AI</t>
        </is>
      </c>
      <c r="O1025"/>
    </row>
    <row r="1026" ht="12.75" customHeight="1">
      <c r="A1026" t="inlineStr">
        <is>
          <t>picture-in-picture mode</t>
        </is>
      </c>
      <c r="B1026" t="inlineStr">
        <is>
          <t>Nattida Suriyodara</t>
        </is>
      </c>
      <c r="C1026" s="2">
        <v>45903</v>
      </c>
      <c r="D1026" s="2"/>
      <c r="E1026" t="inlineStr">
        <is>
          <t>ปกติ</t>
        </is>
      </c>
      <c r="F1026" s="3" t="str">
        <f>=HYPERLINK("https://9to5mac.com/2025/09/02/you-may-soon-be-able-to-watch-instagram-reels-in-picture-in-picture-mode/", "https://9to5mac.com/2025/09/02/you-may-soon-be-able-to-watch-instagram-reels-in-picture-in-picture-mode/")</f>
        <v>https://9to5mac.com/2025/09/02/you-may-soon-be-able-to-watch-instagram-reels-in-picture-in-picture-mode/</v>
      </c>
      <c r="G1026"/>
      <c r="H1026" t="inlineStr">
        <is>
          <t>Website</t>
        </is>
      </c>
      <c r="I1026" t="inlineStr">
        <is>
          <t>งานประจำวัน</t>
        </is>
      </c>
      <c r="J1026" t="inlineStr">
        <is>
          <t>Done</t>
        </is>
      </c>
      <c r="K1026"/>
      <c r="L1026" s="3"/>
      <c r="M1026" t="inlineStr">
        <is>
          <t>1</t>
        </is>
      </c>
      <c r="N1026" t="inlineStr">
        <is>
          <t>ทั่วไป</t>
        </is>
      </c>
      <c r="O1026"/>
    </row>
    <row r="1027" ht="12.75" customHeight="1">
      <c r="A1027" t="inlineStr">
        <is>
          <t>เทรนใหม่สร้างรูปภาพ Gemini</t>
        </is>
      </c>
      <c r="B1027" t="inlineStr">
        <is>
          <t>Nattida Suriyodara</t>
        </is>
      </c>
      <c r="C1027" s="2">
        <v>45903</v>
      </c>
      <c r="D1027" s="2"/>
      <c r="E1027" t="inlineStr">
        <is>
          <t>ปกติ</t>
        </is>
      </c>
      <c r="F1027" s="3"/>
      <c r="G1027"/>
      <c r="H1027" t="inlineStr">
        <is>
          <t>Pic Posts / Album</t>
        </is>
      </c>
      <c r="I1027" t="inlineStr">
        <is>
          <t>งานประจำวัน</t>
        </is>
      </c>
      <c r="J1027" t="inlineStr">
        <is>
          <t>Done</t>
        </is>
      </c>
      <c r="K1027"/>
      <c r="L1027" s="3"/>
      <c r="M1027" t="inlineStr">
        <is>
          <t>1</t>
        </is>
      </c>
      <c r="N1027" t="inlineStr">
        <is>
          <t>AI</t>
        </is>
      </c>
      <c r="O1027"/>
    </row>
    <row r="1028" ht="12.75" customHeight="1">
      <c r="A1028" t="inlineStr">
        <is>
          <t>นักวิเคราะห์ชี้ iPhone 17 ราคาอาจไม่ได้เพิ่มขึ้นมาก ตามที่คาดการณ์ไว้
</t>
        </is>
      </c>
      <c r="B1028" t="inlineStr">
        <is>
          <t>Thitirath Kinaret</t>
        </is>
      </c>
      <c r="C1028" s="2">
        <v>45903</v>
      </c>
      <c r="D1028" s="2">
        <v>45903</v>
      </c>
      <c r="E1028" t="inlineStr">
        <is>
          <t>ปกติ</t>
        </is>
      </c>
      <c r="F1028" s="3"/>
      <c r="G1028"/>
      <c r="H1028" t="inlineStr">
        <is>
          <t>Website, Pic Posts / Album</t>
        </is>
      </c>
      <c r="I1028" t="inlineStr">
        <is>
          <t>งานประจำวัน</t>
        </is>
      </c>
      <c r="J1028" t="inlineStr">
        <is>
          <t>Done</t>
        </is>
      </c>
      <c r="K1028"/>
      <c r="L1028" s="3" t="str">
        <f>=HYPERLINK("https://www.iphonemod.net/apple-might-have-good-news-on-iphone-17-pricing-per-report.html", "https://www.iphonemod.net/apple-might-have-good-news-on-iphone-17-pricing-per-report.html")</f>
        <v>https://www.iphonemod.net/apple-might-have-good-news-on-iphone-17-pricing-per-report.html</v>
      </c>
      <c r="M1028" t="inlineStr">
        <is>
          <t>1</t>
        </is>
      </c>
      <c r="N1028" t="inlineStr">
        <is>
          <t>Apple</t>
        </is>
      </c>
      <c r="O1028"/>
    </row>
    <row r="1029" ht="12.75" customHeight="1">
      <c r="A1029" t="inlineStr">
        <is>
          <t>Apple ปล่อย iOS 26 Beta 9 ให้ทดสอบ โค้งสุดท้ายก่อน RC
</t>
        </is>
      </c>
      <c r="B1029" t="inlineStr">
        <is>
          <t>Thitirath Kinaret</t>
        </is>
      </c>
      <c r="C1029" s="2">
        <v>45903</v>
      </c>
      <c r="D1029" s="2">
        <v>45903</v>
      </c>
      <c r="E1029" t="inlineStr">
        <is>
          <t>ปกติ</t>
        </is>
      </c>
      <c r="F1029" s="3"/>
      <c r="G1029"/>
      <c r="H1029" t="inlineStr">
        <is>
          <t>Website</t>
        </is>
      </c>
      <c r="I1029" t="inlineStr">
        <is>
          <t>งานประจำวัน</t>
        </is>
      </c>
      <c r="J1029" t="inlineStr">
        <is>
          <t>Done</t>
        </is>
      </c>
      <c r="K1029"/>
      <c r="L1029" s="3" t="str">
        <f>=HYPERLINK("https://www.iphonemod.net/apple-seed-ios-26-beta-9.html", "https://www.iphonemod.net/apple-seed-ios-26-beta-9.html")</f>
        <v>https://www.iphonemod.net/apple-seed-ios-26-beta-9.html</v>
      </c>
      <c r="M1029" t="inlineStr">
        <is>
          <t>1</t>
        </is>
      </c>
      <c r="N1029" t="inlineStr">
        <is>
          <t>Apple</t>
        </is>
      </c>
      <c r="O1029"/>
    </row>
    <row r="1030" ht="12.75" customHeight="1">
      <c r="A1030" t="inlineStr">
        <is>
          <t>Beats เปิดตัวหูฟัง Beats Solo 4 "JENNIE Special Edition"
</t>
        </is>
      </c>
      <c r="B1030" t="inlineStr">
        <is>
          <t>Thitirath Kinaret</t>
        </is>
      </c>
      <c r="C1030" s="2">
        <v>45903</v>
      </c>
      <c r="D1030" s="2">
        <v>45903</v>
      </c>
      <c r="E1030" t="inlineStr">
        <is>
          <t>ปกติ</t>
        </is>
      </c>
      <c r="F1030" s="3"/>
      <c r="G1030"/>
      <c r="H1030" t="inlineStr">
        <is>
          <t>Website, Pic Posts / Album</t>
        </is>
      </c>
      <c r="I1030" t="inlineStr">
        <is>
          <t>งานประจำวัน</t>
        </is>
      </c>
      <c r="J1030" t="inlineStr">
        <is>
          <t>Done</t>
        </is>
      </c>
      <c r="K1030"/>
      <c r="L1030" s="3" t="str">
        <f>=HYPERLINK("https://www.iphonemod.net/beats-x-jennie-limited-edition-solo-4-headphones-launch-this-week.html", "https://www.iphonemod.net/beats-x-jennie-limited-edition-solo-4-headphones-launch-this-week.html")</f>
        <v>https://www.iphonemod.net/beats-x-jennie-limited-edition-solo-4-headphones-launch-this-week.html</v>
      </c>
      <c r="M1030" t="inlineStr">
        <is>
          <t>1</t>
        </is>
      </c>
      <c r="N1030" t="inlineStr">
        <is>
          <t>Apple</t>
        </is>
      </c>
      <c r="O1030"/>
    </row>
    <row r="1031" ht="12.75" customHeight="1">
      <c r="A1031" t="inlineStr">
        <is>
          <t>จะเกิดอะไรขึ้นหลัง iPhone 17 เปิดตัว รุ่นไหนถูกเลิกขาย รุ่นไหนลดบ้าง (คาดการณ์)</t>
        </is>
      </c>
      <c r="B1031" t="inlineStr">
        <is>
          <t>Thitirath Kinaret</t>
        </is>
      </c>
      <c r="C1031" s="2">
        <v>45903</v>
      </c>
      <c r="D1031" s="2">
        <v>45903</v>
      </c>
      <c r="E1031" t="inlineStr">
        <is>
          <t>ปกติ</t>
        </is>
      </c>
      <c r="F1031" s="3"/>
      <c r="G1031"/>
      <c r="H1031" t="inlineStr">
        <is>
          <t>YouTube</t>
        </is>
      </c>
      <c r="I1031" t="inlineStr">
        <is>
          <t>งานประจำวัน</t>
        </is>
      </c>
      <c r="J1031" t="inlineStr">
        <is>
          <t>Done</t>
        </is>
      </c>
      <c r="K1031"/>
      <c r="L1031" s="3" t="str">
        <f>=HYPERLINK("https://youtu.be/K759xkbcJTY", "https://youtu.be/K759xkbcJTY")</f>
        <v>https://youtu.be/K759xkbcJTY</v>
      </c>
      <c r="M1031" t="inlineStr">
        <is>
          <t>1</t>
        </is>
      </c>
      <c r="N1031" t="inlineStr">
        <is>
          <t>Apple</t>
        </is>
      </c>
      <c r="O1031"/>
    </row>
    <row r="1032" ht="12.75" customHeight="1">
      <c r="A1032" t="inlineStr">
        <is>
          <t xml:space="preserve">คนใช้ Android ถ้าย้ายไปใช้ iOS ต้องปรับตัวอะไรบ้าง </t>
        </is>
      </c>
      <c r="B1032" t="inlineStr">
        <is>
          <t>Saktaphat Kordjan</t>
        </is>
      </c>
      <c r="C1032" s="2">
        <v>45903</v>
      </c>
      <c r="D1032" s="2"/>
      <c r="E1032" t="inlineStr">
        <is>
          <t>ปกติ</t>
        </is>
      </c>
      <c r="F1032" s="3"/>
      <c r="G1032"/>
      <c r="H1032" t="inlineStr">
        <is>
          <t>YouTube</t>
        </is>
      </c>
      <c r="I1032" t="inlineStr">
        <is>
          <t>เสนอไอเดีย</t>
        </is>
      </c>
      <c r="J1032" t="inlineStr">
        <is>
          <t>Done</t>
        </is>
      </c>
      <c r="K1032"/>
      <c r="L1032" s="3"/>
      <c r="M1032" t="inlineStr">
        <is>
          <t>1</t>
        </is>
      </c>
      <c r="N1032" t="inlineStr">
        <is>
          <t>Android</t>
        </is>
      </c>
      <c r="O1032"/>
    </row>
    <row r="1033" ht="12.75" customHeight="1">
      <c r="A1033" t="inlineStr">
        <is>
          <t>ผลสำรวจชี้ ปี 2025 นี้ผู้ใช้ iPhone สหรัฐฯ สนใจย้ายไปใช้จอพับ Android มากขึ้น
</t>
        </is>
      </c>
      <c r="B1033" t="inlineStr">
        <is>
          <t>Thitirath Kinaret</t>
        </is>
      </c>
      <c r="C1033" s="2">
        <v>45903</v>
      </c>
      <c r="D1033" s="2">
        <v>45903</v>
      </c>
      <c r="E1033" t="inlineStr">
        <is>
          <t>ปกติ</t>
        </is>
      </c>
      <c r="F1033" s="3"/>
      <c r="G1033"/>
      <c r="H1033" t="inlineStr">
        <is>
          <t>Website, Pic Posts / Album</t>
        </is>
      </c>
      <c r="I1033" t="inlineStr">
        <is>
          <t>งานประจำวัน</t>
        </is>
      </c>
      <c r="J1033" t="inlineStr">
        <is>
          <t>Done</t>
        </is>
      </c>
      <c r="K1033"/>
      <c r="L1033" s="3" t="str">
        <f>=HYPERLINK("http://iphonemod.net/survey-claims-many-iphone-owners-will-switch-to-android-for-a-foldable-this-year.html", "iphonemod.net/survey-claims-many-iphone-owners-will-switch-to-android-for-a-foldable-this-year.html")</f>
        <v>iphonemod.net/survey-claims-many-iphone-owners-will-switch-to-android-for-a-foldable-this-year.html</v>
      </c>
      <c r="M1033" t="inlineStr">
        <is>
          <t>1</t>
        </is>
      </c>
      <c r="N1033" t="inlineStr">
        <is>
          <t>Apple</t>
        </is>
      </c>
      <c r="O1033"/>
    </row>
    <row r="1034" ht="12.75" customHeight="1">
      <c r="A1034" t="inlineStr">
        <is>
          <t>PiP ฟีเจอร์ใหม่ IG</t>
        </is>
      </c>
      <c r="B1034" t="inlineStr">
        <is>
          <t>Nattida Suriyodara</t>
        </is>
      </c>
      <c r="C1034" s="2">
        <v>45903</v>
      </c>
      <c r="D1034" s="2"/>
      <c r="E1034" t="inlineStr">
        <is>
          <t>ปกติ</t>
        </is>
      </c>
      <c r="F1034" s="3"/>
      <c r="G1034"/>
      <c r="H1034" t="inlineStr">
        <is>
          <t>Pic Posts / Album</t>
        </is>
      </c>
      <c r="I1034" t="inlineStr">
        <is>
          <t>งานประจำวัน</t>
        </is>
      </c>
      <c r="J1034" t="inlineStr">
        <is>
          <t>Done</t>
        </is>
      </c>
      <c r="K1034"/>
      <c r="L1034" s="3"/>
      <c r="M1034" t="inlineStr">
        <is>
          <t>1</t>
        </is>
      </c>
      <c r="N1034" t="inlineStr">
        <is>
          <t>ทั่วไป</t>
        </is>
      </c>
      <c r="O1034"/>
    </row>
    <row r="1035" ht="12.75" customHeight="1">
      <c r="A1035" t="inlineStr">
        <is>
          <t>Google อาจเปิดตัว Gemini สำหรับ Google Home ในวันที่ 1 ตุลาคม</t>
        </is>
      </c>
      <c r="B1035" t="inlineStr">
        <is>
          <t>Nattida Suriyodara</t>
        </is>
      </c>
      <c r="C1035" s="2">
        <v>45903</v>
      </c>
      <c r="D1035" s="2"/>
      <c r="E1035" t="inlineStr">
        <is>
          <t>ปกติ</t>
        </is>
      </c>
      <c r="F1035" s="3" t="str">
        <f>=HYPERLINK("https://www.androidcentral.com/accessories/smart-home/google-sets-date-for-gemini-on-google-home", "https://www.androidcentral.com/accessories/smart-home/google-sets-date-for-gemini-on-google-home")</f>
        <v>https://www.androidcentral.com/accessories/smart-home/google-sets-date-for-gemini-on-google-home</v>
      </c>
      <c r="G1035"/>
      <c r="H1035" t="inlineStr">
        <is>
          <t>Website</t>
        </is>
      </c>
      <c r="I1035" t="inlineStr">
        <is>
          <t>งานประจำวัน</t>
        </is>
      </c>
      <c r="J1035" t="inlineStr">
        <is>
          <t>Done</t>
        </is>
      </c>
      <c r="K1035"/>
      <c r="L1035" s="3"/>
      <c r="M1035" t="inlineStr">
        <is>
          <t>1</t>
        </is>
      </c>
      <c r="N1035" t="inlineStr">
        <is>
          <t>AI</t>
        </is>
      </c>
      <c r="O1035"/>
    </row>
    <row r="1036" ht="12.75" customHeight="1">
      <c r="A1036" t="inlineStr">
        <is>
          <t>โปรไฟล์ Google Play Games กำลังจะเปิดเผยสู่สาธารณะ</t>
        </is>
      </c>
      <c r="B1036" t="inlineStr">
        <is>
          <t>Saktaphat Kordjan</t>
        </is>
      </c>
      <c r="C1036" s="2">
        <v>45903</v>
      </c>
      <c r="D1036" s="2"/>
      <c r="E1036" t="inlineStr">
        <is>
          <t>ปกติ</t>
        </is>
      </c>
      <c r="F1036" s="3"/>
      <c r="G1036"/>
      <c r="H1036" t="inlineStr">
        <is>
          <t>Website</t>
        </is>
      </c>
      <c r="I1036" t="inlineStr">
        <is>
          <t>งานประจำวัน</t>
        </is>
      </c>
      <c r="J1036" t="inlineStr">
        <is>
          <t>Done</t>
        </is>
      </c>
      <c r="K1036"/>
      <c r="L1036" s="3"/>
      <c r="M1036" t="inlineStr">
        <is>
          <t>1</t>
        </is>
      </c>
      <c r="N1036" t="inlineStr">
        <is>
          <t>Android</t>
        </is>
      </c>
      <c r="O1036"/>
    </row>
    <row r="1037" ht="12.75" customHeight="1">
      <c r="A1037" t="inlineStr">
        <is>
          <t>Acer อัปเกรด Predator Helios 18" ด้วยหน้าจอ 4K และ GPU สูงสุด</t>
        </is>
      </c>
      <c r="B1037" t="inlineStr">
        <is>
          <t>Saktaphat Kordjan</t>
        </is>
      </c>
      <c r="C1037" s="2">
        <v>45903</v>
      </c>
      <c r="D1037" s="2"/>
      <c r="E1037" t="inlineStr">
        <is>
          <t>ปกติ</t>
        </is>
      </c>
      <c r="F1037" s="3"/>
      <c r="G1037"/>
      <c r="H1037" t="inlineStr">
        <is>
          <t>Website</t>
        </is>
      </c>
      <c r="I1037" t="inlineStr">
        <is>
          <t>งานประจำวัน</t>
        </is>
      </c>
      <c r="J1037" t="inlineStr">
        <is>
          <t>Done</t>
        </is>
      </c>
      <c r="K1037"/>
      <c r="L1037" s="3"/>
      <c r="M1037" t="inlineStr">
        <is>
          <t>1</t>
        </is>
      </c>
      <c r="N1037" t="inlineStr">
        <is>
          <t>Tech</t>
        </is>
      </c>
      <c r="O1037"/>
    </row>
    <row r="1038" ht="12.75" customHeight="1">
      <c r="A1038" t="inlineStr">
        <is>
          <t>ผลสำรวจชี้เกือบ 70% ของผู้ใช้ iPhone มีแผนซื้อ iPhone 17</t>
        </is>
      </c>
      <c r="B1038" t="inlineStr">
        <is>
          <t>Thitirath Kinaret</t>
        </is>
      </c>
      <c r="C1038" s="2">
        <v>45902</v>
      </c>
      <c r="D1038" s="2">
        <v>45902</v>
      </c>
      <c r="E1038" t="inlineStr">
        <is>
          <t>ปกติ</t>
        </is>
      </c>
      <c r="F1038" s="3"/>
      <c r="G1038"/>
      <c r="H1038" t="inlineStr">
        <is>
          <t>Website, Pic Posts / Album</t>
        </is>
      </c>
      <c r="I1038" t="inlineStr">
        <is>
          <t>งานประจำวัน</t>
        </is>
      </c>
      <c r="J1038" t="inlineStr">
        <is>
          <t>Done</t>
        </is>
      </c>
      <c r="K1038"/>
      <c r="L1038" s="3" t="str">
        <f>=HYPERLINK("https://www.iphonemod.net/survey-nearly-70-of-users-plan-to-upgrade-to-iphone-17.html", "https://www.iphonemod.net/survey-nearly-70-of-users-plan-to-upgrade-to-iphone-17.html")</f>
        <v>https://www.iphonemod.net/survey-nearly-70-of-users-plan-to-upgrade-to-iphone-17.html</v>
      </c>
      <c r="M1038" t="inlineStr">
        <is>
          <t>1</t>
        </is>
      </c>
      <c r="N1038" t="inlineStr">
        <is>
          <t>Apple</t>
        </is>
      </c>
      <c r="O1038"/>
    </row>
    <row r="1039" ht="12.75" customHeight="1">
      <c r="A1039" t="inlineStr">
        <is>
          <t>หลุดภาพเรนเดอร์และสเปค Realme Watch 5</t>
        </is>
      </c>
      <c r="B1039" t="inlineStr">
        <is>
          <t>Saktaphat Kordjan</t>
        </is>
      </c>
      <c r="C1039" s="2">
        <v>45902</v>
      </c>
      <c r="D1039" s="2"/>
      <c r="E1039" t="inlineStr">
        <is>
          <t>ปกติ</t>
        </is>
      </c>
      <c r="F1039" s="3"/>
      <c r="G1039"/>
      <c r="H1039" t="inlineStr">
        <is>
          <t>Website, Shorts</t>
        </is>
      </c>
      <c r="I1039" t="inlineStr">
        <is>
          <t>งานประจำวัน</t>
        </is>
      </c>
      <c r="J1039" t="inlineStr">
        <is>
          <t>Done</t>
        </is>
      </c>
      <c r="K1039"/>
      <c r="L1039" s="3"/>
      <c r="M1039" t="inlineStr">
        <is>
          <t>1</t>
        </is>
      </c>
      <c r="N1039" t="inlineStr">
        <is>
          <t>Android, Tech</t>
        </is>
      </c>
      <c r="O1039"/>
    </row>
    <row r="1040" ht="12.75" customHeight="1">
      <c r="A1040" t="inlineStr">
        <is>
          <t xml:space="preserve">ลูกค้าช็อก! พนักงานแว็กซ์สวมแว่น Meta ขณะให้บริการแว็กซ์บราซิลเลียน </t>
        </is>
      </c>
      <c r="B1040" t="inlineStr">
        <is>
          <t>Nattida Suriyodara</t>
        </is>
      </c>
      <c r="C1040" s="2">
        <v>45902</v>
      </c>
      <c r="D1040" s="2"/>
      <c r="E1040" t="inlineStr">
        <is>
          <t>ปกติ</t>
        </is>
      </c>
      <c r="F1040" s="3" t="str">
        <f>=HYPERLINK("https://www.iphonemod.net/cutomer-shocked-wax-center-staff-wearing-meta-ai-glasses.html", "https://www.iphonemod.net/cutomer-shocked-wax-center-staff-wearing-meta-ai-glasses.html")</f>
        <v>https://www.iphonemod.net/cutomer-shocked-wax-center-staff-wearing-meta-ai-glasses.html</v>
      </c>
      <c r="G1040"/>
      <c r="H1040" t="inlineStr">
        <is>
          <t>Website, Pic Posts / Album</t>
        </is>
      </c>
      <c r="I1040" t="inlineStr">
        <is>
          <t>งานประจำวัน</t>
        </is>
      </c>
      <c r="J1040" t="inlineStr">
        <is>
          <t>Done</t>
        </is>
      </c>
      <c r="K1040"/>
      <c r="L1040" s="3"/>
      <c r="M1040" t="inlineStr">
        <is>
          <t>1</t>
        </is>
      </c>
      <c r="N1040" t="inlineStr">
        <is>
          <t>AI</t>
        </is>
      </c>
      <c r="O1040"/>
    </row>
    <row r="1041" ht="12.75" customHeight="1">
      <c r="A1041" t="inlineStr">
        <is>
          <t>YouTube เริ่มเข้มงวด นโยบายครอบครัว</t>
        </is>
      </c>
      <c r="B1041" t="inlineStr">
        <is>
          <t>Saktaphat Kordjan</t>
        </is>
      </c>
      <c r="C1041" s="2">
        <v>45902</v>
      </c>
      <c r="D1041" s="2">
        <v>45902</v>
      </c>
      <c r="E1041" t="inlineStr">
        <is>
          <t>ปกติ</t>
        </is>
      </c>
      <c r="F1041" s="3"/>
      <c r="G1041"/>
      <c r="H1041" t="inlineStr">
        <is>
          <t>Pic Posts / Album, Website</t>
        </is>
      </c>
      <c r="I1041" t="inlineStr">
        <is>
          <t>งานประจำวัน</t>
        </is>
      </c>
      <c r="J1041" t="inlineStr">
        <is>
          <t>Done</t>
        </is>
      </c>
      <c r="K1041"/>
      <c r="L1041" s="3"/>
      <c r="M1041" t="inlineStr">
        <is>
          <t>1</t>
        </is>
      </c>
      <c r="N1041" t="inlineStr">
        <is>
          <t>ทั่วไป</t>
        </is>
      </c>
      <c r="O1041"/>
    </row>
    <row r="1042" ht="12.75" customHeight="1">
      <c r="A1042" t="inlineStr">
        <is>
          <t>Trend สร้างรูปการ์ตูนฟิกเกอร์</t>
        </is>
      </c>
      <c r="B1042" t="inlineStr">
        <is>
          <t>Nattida Suriyodara,Sasithakan Sritonthip</t>
        </is>
      </c>
      <c r="C1042" s="2">
        <v>45901</v>
      </c>
      <c r="D1042" s="2"/>
      <c r="E1042" t="inlineStr">
        <is>
          <t>ปกติ</t>
        </is>
      </c>
      <c r="F1042" s="3"/>
      <c r="G1042"/>
      <c r="H1042" t="inlineStr">
        <is>
          <t>Shorts</t>
        </is>
      </c>
      <c r="I1042" t="inlineStr">
        <is>
          <t>เสนอไอเดีย</t>
        </is>
      </c>
      <c r="J1042" t="inlineStr">
        <is>
          <t>Done</t>
        </is>
      </c>
      <c r="K1042" t="inlineStr">
        <is>
          <t>ใช้ Gemini</t>
        </is>
      </c>
      <c r="L1042" s="3"/>
      <c r="M1042" t="inlineStr">
        <is>
          <t>1</t>
        </is>
      </c>
      <c r="N1042" t="inlineStr">
        <is>
          <t>AI</t>
        </is>
      </c>
      <c r="O1042"/>
    </row>
    <row r="1043" ht="12.75" customHeight="1">
      <c r="A1043" t="inlineStr">
        <is>
          <t>CarPlay Ultra</t>
        </is>
      </c>
      <c r="B1043" t="inlineStr">
        <is>
          <t>Sasithakan Sritonthip</t>
        </is>
      </c>
      <c r="C1043" s="2">
        <v>45901</v>
      </c>
      <c r="D1043" s="2"/>
      <c r="E1043" t="inlineStr">
        <is>
          <t>ปกติ</t>
        </is>
      </c>
      <c r="F1043" s="3" t="str">
        <f>=HYPERLINK("https://www.macrumors.com/2025/08/31/next-carplay-ultra-vehicle-report/", "https://www.macrumors.com/2025/08/31/next-carplay-ultra-vehicle-report/")</f>
        <v>https://www.macrumors.com/2025/08/31/next-carplay-ultra-vehicle-report/</v>
      </c>
      <c r="G1043"/>
      <c r="H1043" t="inlineStr">
        <is>
          <t>Website</t>
        </is>
      </c>
      <c r="I1043" t="inlineStr">
        <is>
          <t>งานประจำวัน</t>
        </is>
      </c>
      <c r="J1043" t="inlineStr">
        <is>
          <t>Done</t>
        </is>
      </c>
      <c r="K1043"/>
      <c r="L1043" s="3"/>
      <c r="M1043" t="inlineStr">
        <is>
          <t>1</t>
        </is>
      </c>
      <c r="N1043" t="inlineStr">
        <is>
          <t>Apple</t>
        </is>
      </c>
      <c r="O1043"/>
    </row>
    <row r="1044" ht="12.75" customHeight="1">
      <c r="A1044" t="inlineStr">
        <is>
          <t>Apple และ Samsung ขู่ฟ้อง Xiaomi เรื่องโฆษณาในอินเดีย
</t>
        </is>
      </c>
      <c r="B1044" t="inlineStr">
        <is>
          <t>Thitirath Kinaret</t>
        </is>
      </c>
      <c r="C1044" s="2">
        <v>45901</v>
      </c>
      <c r="D1044" s="2">
        <v>45901</v>
      </c>
      <c r="E1044" t="inlineStr">
        <is>
          <t>ปกติ</t>
        </is>
      </c>
      <c r="F1044" s="3" t="str">
        <f>=HYPERLINK("https://www.iphonemod.net/apple-and-samsung-push-back-against-xiaomi-bold-india-ads.html", "https://www.iphonemod.net/apple-and-samsung-push-back-against-xiaomi-bold-india-ads.html")</f>
        <v>https://www.iphonemod.net/apple-and-samsung-push-back-against-xiaomi-bold-india-ads.html</v>
      </c>
      <c r="G1044"/>
      <c r="H1044" t="inlineStr">
        <is>
          <t>Website, Pic Posts / Album</t>
        </is>
      </c>
      <c r="I1044" t="inlineStr">
        <is>
          <t>งานประจำวัน</t>
        </is>
      </c>
      <c r="J1044" t="inlineStr">
        <is>
          <t>Done</t>
        </is>
      </c>
      <c r="K1044"/>
      <c r="L1044" s="3"/>
      <c r="M1044" t="inlineStr">
        <is>
          <t>1</t>
        </is>
      </c>
      <c r="N1044" t="inlineStr">
        <is>
          <t>Android, Apple</t>
        </is>
      </c>
      <c r="O1044"/>
    </row>
    <row r="1045" ht="12.75" customHeight="1">
      <c r="A1045" t="inlineStr">
        <is>
          <t>ภาพหลุดเคสใส iPhone 17 Pro เผย 3 การเปลี่ยนแปลงหลัก
</t>
        </is>
      </c>
      <c r="B1045" t="inlineStr">
        <is>
          <t>Thitirath Kinaret</t>
        </is>
      </c>
      <c r="C1045" s="2">
        <v>45901</v>
      </c>
      <c r="D1045" s="2">
        <v>45901</v>
      </c>
      <c r="E1045" t="inlineStr">
        <is>
          <t>ปกติ</t>
        </is>
      </c>
      <c r="F1045" s="3" t="str">
        <f>=HYPERLINK("https://www.iphonemod.net/iphone-17-pro-clear-case-leak-reveals-three-key-changes.html", "https://www.iphonemod.net/iphone-17-pro-clear-case-leak-reveals-three-key-changes.html")</f>
        <v>https://www.iphonemod.net/iphone-17-pro-clear-case-leak-reveals-three-key-changes.html</v>
      </c>
      <c r="G1045"/>
      <c r="H1045" t="inlineStr">
        <is>
          <t>Pic Posts / Album, Website</t>
        </is>
      </c>
      <c r="I1045" t="inlineStr">
        <is>
          <t>งานประจำวัน</t>
        </is>
      </c>
      <c r="J1045" t="inlineStr">
        <is>
          <t>Done</t>
        </is>
      </c>
      <c r="K1045"/>
      <c r="L1045" s="3"/>
      <c r="M1045" t="inlineStr">
        <is>
          <t>1</t>
        </is>
      </c>
      <c r="N1045" t="inlineStr">
        <is>
          <t>Apple</t>
        </is>
      </c>
      <c r="O1045"/>
    </row>
    <row r="1046" ht="12.75" customHeight="1">
      <c r="A1046" t="inlineStr">
        <is>
          <t>การเพิ่มขึ้นของ AI agent ด้านอีคอมเมิร์ช</t>
        </is>
      </c>
      <c r="B1046" t="inlineStr">
        <is>
          <t>Nattida Suriyodara</t>
        </is>
      </c>
      <c r="C1046" s="2">
        <v>45901</v>
      </c>
      <c r="D1046" s="2"/>
      <c r="E1046" t="inlineStr">
        <is>
          <t>ปกติ</t>
        </is>
      </c>
      <c r="F1046" s="3" t="str">
        <f>=HYPERLINK("https://www.ft.com/content/6d951293-d750-48b9-92b6-632fdfb92f18", "https://www.ft.com/content/6d951293-d750-48b9-92b6-632fdfb92f18")</f>
        <v>https://www.ft.com/content/6d951293-d750-48b9-92b6-632fdfb92f18</v>
      </c>
      <c r="G1046"/>
      <c r="H1046" t="inlineStr">
        <is>
          <t>Website</t>
        </is>
      </c>
      <c r="I1046" t="inlineStr">
        <is>
          <t>งานประจำวัน</t>
        </is>
      </c>
      <c r="J1046" t="inlineStr">
        <is>
          <t>Done</t>
        </is>
      </c>
      <c r="K1046"/>
      <c r="L1046" s="3"/>
      <c r="M1046" t="inlineStr">
        <is>
          <t>1</t>
        </is>
      </c>
      <c r="N1046" t="inlineStr">
        <is>
          <t>AI</t>
        </is>
      </c>
      <c r="O1046"/>
    </row>
    <row r="1047" ht="12.75" customHeight="1">
      <c r="A1047" t="inlineStr">
        <is>
          <t>iPhone 17 อาจไม่มีถาดซิมการ์ด (SIM card) ในหลายประเทศมากขึ้น
</t>
        </is>
      </c>
      <c r="B1047" t="inlineStr">
        <is>
          <t>Thitirath Kinaret</t>
        </is>
      </c>
      <c r="C1047" s="2">
        <v>45901</v>
      </c>
      <c r="D1047" s="2">
        <v>45901</v>
      </c>
      <c r="E1047" t="inlineStr">
        <is>
          <t>ปกติ</t>
        </is>
      </c>
      <c r="F1047" s="3"/>
      <c r="G1047"/>
      <c r="H1047" t="inlineStr">
        <is>
          <t>Website, Pic Posts / Album</t>
        </is>
      </c>
      <c r="I1047" t="inlineStr">
        <is>
          <t>งานประจำวัน</t>
        </is>
      </c>
      <c r="J1047" t="inlineStr">
        <is>
          <t>Done</t>
        </is>
      </c>
      <c r="K1047"/>
      <c r="L1047" s="3"/>
      <c r="M1047" t="inlineStr">
        <is>
          <t>1</t>
        </is>
      </c>
      <c r="N1047" t="inlineStr">
        <is>
          <t>Apple</t>
        </is>
      </c>
      <c r="O1047"/>
    </row>
    <row r="1048" ht="12.75" customHeight="1">
      <c r="A1048" t="inlineStr">
        <is>
          <t>LEGO iMac G3</t>
        </is>
      </c>
      <c r="B1048" t="inlineStr">
        <is>
          <t>Sasithakan Sritonthip</t>
        </is>
      </c>
      <c r="C1048" s="2">
        <v>45901</v>
      </c>
      <c r="D1048" s="2"/>
      <c r="E1048" t="inlineStr">
        <is>
          <t>ปกติ</t>
        </is>
      </c>
      <c r="F1048" s="3" t="str">
        <f>=HYPERLINK("https://www.macrumors.com/2025/08/29/lego-classic-bondi-blue-imac-g3/", "https://www.macrumors.com/2025/08/29/lego-classic-bondi-blue-imac-g3/")</f>
        <v>https://www.macrumors.com/2025/08/29/lego-classic-bondi-blue-imac-g3/</v>
      </c>
      <c r="G1048"/>
      <c r="H1048" t="inlineStr">
        <is>
          <t>Website</t>
        </is>
      </c>
      <c r="I1048" t="inlineStr">
        <is>
          <t>งานประจำวัน</t>
        </is>
      </c>
      <c r="J1048" t="inlineStr">
        <is>
          <t>Done</t>
        </is>
      </c>
      <c r="K1048"/>
      <c r="L1048" s="3"/>
      <c r="M1048" t="inlineStr">
        <is>
          <t>1</t>
        </is>
      </c>
      <c r="N1048" t="inlineStr">
        <is>
          <t>Apple</t>
        </is>
      </c>
      <c r="O1048"/>
    </row>
    <row r="1049" ht="12.75" customHeight="1">
      <c r="A1049" t="inlineStr">
        <is>
          <t>Apple ปิดประตูดาวน์เกรดกลับไป iOS 18.6.1 แล้ว (Stop Signing)
</t>
        </is>
      </c>
      <c r="B1049" t="inlineStr">
        <is>
          <t>Thitirath Kinaret</t>
        </is>
      </c>
      <c r="C1049" s="2">
        <v>45901</v>
      </c>
      <c r="D1049" s="2">
        <v>45901</v>
      </c>
      <c r="E1049" t="inlineStr">
        <is>
          <t>ปกติ</t>
        </is>
      </c>
      <c r="F1049" s="3"/>
      <c r="G1049"/>
      <c r="H1049" t="inlineStr">
        <is>
          <t>Website, Pic Posts / Album</t>
        </is>
      </c>
      <c r="I1049" t="inlineStr">
        <is>
          <t>งานประจำวัน</t>
        </is>
      </c>
      <c r="J1049" t="inlineStr">
        <is>
          <t>Done</t>
        </is>
      </c>
      <c r="K1049"/>
      <c r="L1049" s="3" t="str">
        <f>=HYPERLINK("https://www.iphonemod.net/ios-18-6-1-stop-signing.html", "https://www.iphonemod.net/ios-18-6-1-stop-signing.html")</f>
        <v>https://www.iphonemod.net/ios-18-6-1-stop-signing.html</v>
      </c>
      <c r="M1049" t="inlineStr">
        <is>
          <t>1</t>
        </is>
      </c>
      <c r="N1049" t="inlineStr">
        <is>
          <t>Apple</t>
        </is>
      </c>
      <c r="O1049"/>
    </row>
    <row r="1050" ht="12.75" customHeight="1">
      <c r="A1050" t="inlineStr">
        <is>
          <t>Google เปิดตัว Quick Share ที่ออกแบบและปรับปรุงใหม่</t>
        </is>
      </c>
      <c r="B1050" t="inlineStr">
        <is>
          <t>Saktaphat Kordjan</t>
        </is>
      </c>
      <c r="C1050" s="2">
        <v>45901</v>
      </c>
      <c r="D1050" s="2"/>
      <c r="E1050" t="inlineStr">
        <is>
          <t>ปกติ</t>
        </is>
      </c>
      <c r="F1050" s="3" t="str">
        <f>=HYPERLINK("https://www.gsmarena.com/google_is_rolling_out_the_redesigned_and_improved_quick_share_feature-news-69284.php", "https://www.gsmarena.com/google_is_rolling_out_the_redesigned_and_improved_quick_share_feature-news-69284.php")</f>
        <v>https://www.gsmarena.com/google_is_rolling_out_the_redesigned_and_improved_quick_share_feature-news-69284.php</v>
      </c>
      <c r="G1050"/>
      <c r="H1050" t="inlineStr">
        <is>
          <t>Website</t>
        </is>
      </c>
      <c r="I1050" t="inlineStr">
        <is>
          <t>งานประจำวัน</t>
        </is>
      </c>
      <c r="J1050" t="inlineStr">
        <is>
          <t>Done</t>
        </is>
      </c>
      <c r="K1050"/>
      <c r="L1050" s="3"/>
      <c r="M1050" t="inlineStr">
        <is>
          <t>1</t>
        </is>
      </c>
      <c r="N1050" t="inlineStr">
        <is>
          <t>Android</t>
        </is>
      </c>
      <c r="O1050"/>
    </row>
    <row r="1051" ht="12.75" customHeight="1">
      <c r="A1051" t="inlineStr">
        <is>
          <t>Google ยืนยัน ลบแอปใน Play Store ที่ละเมิดนโยบาย แนะนำให้ผู้ใช้ลบจากอุปกรณ์ด้วย
</t>
        </is>
      </c>
      <c r="B1051" t="inlineStr">
        <is>
          <t>Thitirath Kinaret</t>
        </is>
      </c>
      <c r="C1051" s="2">
        <v>45901</v>
      </c>
      <c r="D1051" s="2">
        <v>45901</v>
      </c>
      <c r="E1051" t="inlineStr">
        <is>
          <t>ปกติ</t>
        </is>
      </c>
      <c r="F1051" s="3"/>
      <c r="G1051"/>
      <c r="H1051" t="inlineStr">
        <is>
          <t>Website, Pic Posts / Album</t>
        </is>
      </c>
      <c r="I1051" t="inlineStr">
        <is>
          <t>งานประจำวัน</t>
        </is>
      </c>
      <c r="J1051" t="inlineStr">
        <is>
          <t>Done</t>
        </is>
      </c>
      <c r="K1051"/>
      <c r="L1051" s="3" t="str">
        <f>=HYPERLINK("https://www.iphonemod.net/google-confirms-play-store-deletionremove-apps-on-your-phone.html", "https://www.iphonemod.net/google-confirms-play-store-deletionremove-apps-on-your-phone.html")</f>
        <v>https://www.iphonemod.net/google-confirms-play-store-deletionremove-apps-on-your-phone.html</v>
      </c>
      <c r="M1051" t="inlineStr">
        <is>
          <t>1</t>
        </is>
      </c>
      <c r="N1051" t="inlineStr">
        <is>
          <t>Android</t>
        </is>
      </c>
      <c r="O1051"/>
    </row>
    <row r="1052" ht="12.75" customHeight="1">
      <c r="A1052" t="inlineStr">
        <is>
          <t>iPhone 17 สีส้ม🧡 สีฟ้า🩵 มาแน่ (จากคลิปใหญ่)</t>
        </is>
      </c>
      <c r="B1052" t="inlineStr">
        <is>
          <t>Thitirath Kinaret,Sasithakan Sritonthip</t>
        </is>
      </c>
      <c r="C1052" s="2">
        <v>45901</v>
      </c>
      <c r="D1052" s="2"/>
      <c r="E1052" t="inlineStr">
        <is>
          <t>ปกติ</t>
        </is>
      </c>
      <c r="F1052" s="3"/>
      <c r="G1052"/>
      <c r="H1052" t="inlineStr">
        <is>
          <t>Shorts</t>
        </is>
      </c>
      <c r="I1052" t="inlineStr">
        <is>
          <t>งานประจำวัน</t>
        </is>
      </c>
      <c r="J1052" t="inlineStr">
        <is>
          <t>Done</t>
        </is>
      </c>
      <c r="K1052"/>
      <c r="L1052" s="3"/>
      <c r="M1052" t="inlineStr">
        <is>
          <t>1</t>
        </is>
      </c>
      <c r="N1052" t="inlineStr">
        <is>
          <t>Apple</t>
        </is>
      </c>
      <c r="O1052"/>
    </row>
    <row r="1053" ht="12.75" customHeight="1">
      <c r="A1053" t="inlineStr">
        <is>
          <t>เคส iPhone 17 มาพร้อมกันถึง 8 สี (ตัดจากคลิปใหญ่)</t>
        </is>
      </c>
      <c r="B1053" t="inlineStr">
        <is>
          <t>Thitirath Kinaret,Sasithakan Sritonthip</t>
        </is>
      </c>
      <c r="C1053" s="2">
        <v>45901</v>
      </c>
      <c r="D1053" s="2"/>
      <c r="E1053" t="inlineStr">
        <is>
          <t>ปกติ</t>
        </is>
      </c>
      <c r="F1053" s="3"/>
      <c r="G1053"/>
      <c r="H1053" t="inlineStr">
        <is>
          <t>Shorts</t>
        </is>
      </c>
      <c r="I1053" t="inlineStr">
        <is>
          <t>งานประจำวัน</t>
        </is>
      </c>
      <c r="J1053" t="inlineStr">
        <is>
          <t>Done</t>
        </is>
      </c>
      <c r="K1053"/>
      <c r="L1053" s="3"/>
      <c r="M1053" t="inlineStr">
        <is>
          <t>1</t>
        </is>
      </c>
      <c r="N1053" t="inlineStr">
        <is>
          <t>Apple</t>
        </is>
      </c>
      <c r="O1053"/>
    </row>
    <row r="1054" ht="12.75" customHeight="1">
      <c r="A1054" t="inlineStr">
        <is>
          <t>วิธีสร้างรูป Figure</t>
        </is>
      </c>
      <c r="B1054" t="inlineStr">
        <is>
          <t>Nattida Suriyodara</t>
        </is>
      </c>
      <c r="C1054" s="2">
        <v>45901</v>
      </c>
      <c r="D1054" s="2"/>
      <c r="E1054" t="inlineStr">
        <is>
          <t>ด่วน!</t>
        </is>
      </c>
      <c r="F1054" s="3"/>
      <c r="G1054"/>
      <c r="H1054" t="inlineStr">
        <is>
          <t>Pic Posts / Album</t>
        </is>
      </c>
      <c r="I1054" t="inlineStr">
        <is>
          <t>งานประจำวัน</t>
        </is>
      </c>
      <c r="J1054" t="inlineStr">
        <is>
          <t>Done</t>
        </is>
      </c>
      <c r="K1054"/>
      <c r="L1054" s="3"/>
      <c r="M1054" t="inlineStr">
        <is>
          <t>1</t>
        </is>
      </c>
      <c r="N1054" t="inlineStr">
        <is>
          <t>AI</t>
        </is>
      </c>
      <c r="O1054"/>
    </row>
    <row r="1055" ht="12.75" customHeight="1">
      <c r="A1055" t="inlineStr">
        <is>
          <t>iPhone 16 Pro Max สุขภาพแบตยัง 100% หลังใช้ 1 ปี ทำยังไง?
</t>
        </is>
      </c>
      <c r="B1055" t="inlineStr">
        <is>
          <t>Thitirath Kinaret</t>
        </is>
      </c>
      <c r="C1055" s="2">
        <v>45901</v>
      </c>
      <c r="D1055" s="2">
        <v>45902</v>
      </c>
      <c r="E1055" t="inlineStr">
        <is>
          <t>ปกติ</t>
        </is>
      </c>
      <c r="F1055" s="3"/>
      <c r="G1055"/>
      <c r="H1055" t="inlineStr">
        <is>
          <t>YouTube</t>
        </is>
      </c>
      <c r="I1055" t="inlineStr">
        <is>
          <t>งานประจำวัน</t>
        </is>
      </c>
      <c r="J1055" t="inlineStr">
        <is>
          <t>Done</t>
        </is>
      </c>
      <c r="K1055"/>
      <c r="L1055" s="3" t="str">
        <f>=HYPERLINK("https://youtu.be/MX_9UWkHFv4", "https://youtu.be/MX_9UWkHFv4")</f>
        <v>https://youtu.be/MX_9UWkHFv4</v>
      </c>
      <c r="M1055" t="inlineStr">
        <is>
          <t>1</t>
        </is>
      </c>
      <c r="N1055" t="inlineStr">
        <is>
          <t>Apple</t>
        </is>
      </c>
      <c r="O1055"/>
    </row>
    <row r="1056" ht="12.75" customHeight="1">
      <c r="A1056" t="inlineStr">
        <is>
          <t>เครื่องเล่นวิดีโอจิ๋ว 1 นิ้ว</t>
        </is>
      </c>
      <c r="B1056" t="inlineStr">
        <is>
          <t>Sasithakan Sritonthip</t>
        </is>
      </c>
      <c r="C1056" s="2">
        <v>45898</v>
      </c>
      <c r="D1056" s="2"/>
      <c r="E1056" t="inlineStr">
        <is>
          <t>ปกติ</t>
        </is>
      </c>
      <c r="F1056" s="3" t="str">
        <f>=HYPERLINK("https://arstechnica.com/gadgets/2025/08/video-player-looks-like-a-1-inch-tv-from-the-60s-and-is-wondrous-pointless-fun/", "https://arstechnica.com/gadgets/2025/08/video-player-looks-like-a-1-inch-tv-from-the-60s-and-is-wondrous-pointless-fun/")</f>
        <v>https://arstechnica.com/gadgets/2025/08/video-player-looks-like-a-1-inch-tv-from-the-60s-and-is-wondrous-pointless-fun/</v>
      </c>
      <c r="G1056"/>
      <c r="H1056" t="inlineStr">
        <is>
          <t>Website</t>
        </is>
      </c>
      <c r="I1056" t="inlineStr">
        <is>
          <t>งานประจำวัน</t>
        </is>
      </c>
      <c r="J1056" t="inlineStr">
        <is>
          <t>Done</t>
        </is>
      </c>
      <c r="K1056"/>
      <c r="L1056" s="3"/>
      <c r="M1056" t="inlineStr">
        <is>
          <t>1</t>
        </is>
      </c>
      <c r="N1056" t="inlineStr">
        <is>
          <t>Tech</t>
        </is>
      </c>
      <c r="O1056"/>
    </row>
    <row r="1057" ht="12.75" customHeight="1">
      <c r="A1057" t="inlineStr">
        <is>
          <t xml:space="preserve">Apple Watch Ultra 3 </t>
        </is>
      </c>
      <c r="B1057" t="inlineStr">
        <is>
          <t>Nattida Suriyodara</t>
        </is>
      </c>
      <c r="C1057" s="2">
        <v>45898</v>
      </c>
      <c r="D1057" s="2"/>
      <c r="E1057" t="inlineStr">
        <is>
          <t>ปกติ</t>
        </is>
      </c>
      <c r="F1057" s="3" t="str">
        <f>=HYPERLINK("https://www.macrumors.com/guide/apple-watch-ultra-3-what-to-expect/", "https://www.macrumors.com/guide/apple-watch-ultra-3-what-to-expect/")</f>
        <v>https://www.macrumors.com/guide/apple-watch-ultra-3-what-to-expect/</v>
      </c>
      <c r="G1057"/>
      <c r="H1057" t="inlineStr">
        <is>
          <t>Website</t>
        </is>
      </c>
      <c r="I1057" t="inlineStr">
        <is>
          <t>งานประจำวัน</t>
        </is>
      </c>
      <c r="J1057" t="inlineStr">
        <is>
          <t>Done</t>
        </is>
      </c>
      <c r="K1057"/>
      <c r="L1057" s="3"/>
      <c r="M1057" t="inlineStr">
        <is>
          <t>1</t>
        </is>
      </c>
      <c r="N1057" t="inlineStr">
        <is>
          <t>AI</t>
        </is>
      </c>
      <c r="O1057"/>
    </row>
    <row r="1058" ht="12.75" customHeight="1">
      <c r="A1058" t="inlineStr">
        <is>
          <t>Xiaomi: เสียวหมี่ ประเทศไทย วางจำหน่าย Redmi 15C สมาร์ทโฟนสุดเพรียวบางพร้อมหน้าจออันสมจริงและพลังอันล้นเหลือ ในราคาเริ่มต้นที่ 3,499 บาท</t>
        </is>
      </c>
      <c r="B1058" t="inlineStr">
        <is>
          <t>Sasithakan Sritonthip</t>
        </is>
      </c>
      <c r="C1058" s="2">
        <v>45898</v>
      </c>
      <c r="D1058" s="2"/>
      <c r="E1058" t="inlineStr">
        <is>
          <t>ปกติ</t>
        </is>
      </c>
      <c r="F1058" s="3" t="str">
        <f>=HYPERLINK("https://mail.google.com/mail/u/0/#inbox/FMfcgzQcpTMRmzvnCPzCwPZPRqWHSmJL", "https://mail.google.com/mail/u/0/#inbox/FMfcgzQcpTMRmzvnCPzCwPZPRqWHSmJL")</f>
        <v>https://mail.google.com/mail/u/0/#inbox/FMfcgzQcpTMRmzvnCPzCwPZPRqWHSmJL</v>
      </c>
      <c r="G1058"/>
      <c r="H1058" t="inlineStr">
        <is>
          <t>Website</t>
        </is>
      </c>
      <c r="I1058" t="inlineStr">
        <is>
          <t>งานลูกค้า</t>
        </is>
      </c>
      <c r="J1058" t="inlineStr">
        <is>
          <t>Done</t>
        </is>
      </c>
      <c r="K1058" t="inlineStr">
        <is>
          <t>(ภายใน Email)</t>
        </is>
      </c>
      <c r="L1058" s="3"/>
      <c r="M1058" t="inlineStr">
        <is>
          <t>1</t>
        </is>
      </c>
      <c r="N1058" t="inlineStr">
        <is>
          <t>Android</t>
        </is>
      </c>
      <c r="O1058"/>
    </row>
    <row r="1059" ht="12.75" customHeight="1">
      <c r="A1059" t="inlineStr">
        <is>
          <t>Gemini อัปเกรดการสร้างรูป!</t>
        </is>
      </c>
      <c r="B1059" t="inlineStr">
        <is>
          <t>Nattida Suriyodara</t>
        </is>
      </c>
      <c r="C1059" s="2">
        <v>45898</v>
      </c>
      <c r="D1059" s="2"/>
      <c r="E1059" t="inlineStr">
        <is>
          <t>ปกติ</t>
        </is>
      </c>
      <c r="F1059" s="3"/>
      <c r="G1059"/>
      <c r="H1059" t="inlineStr">
        <is>
          <t>YouTube</t>
        </is>
      </c>
      <c r="I1059" t="inlineStr">
        <is>
          <t>งานประจำวัน</t>
        </is>
      </c>
      <c r="J1059" t="inlineStr">
        <is>
          <t>Done</t>
        </is>
      </c>
      <c r="K1059"/>
      <c r="L1059" s="3"/>
      <c r="M1059" t="inlineStr">
        <is>
          <t>1</t>
        </is>
      </c>
      <c r="N1059" t="inlineStr">
        <is>
          <t>AI</t>
        </is>
      </c>
      <c r="O1059"/>
    </row>
    <row r="1060" ht="12.75" customHeight="1">
      <c r="A1060" t="inlineStr">
        <is>
          <t xml:space="preserve">คลิปสั้น NotebookLM </t>
        </is>
      </c>
      <c r="B1060" t="inlineStr">
        <is>
          <t>Nattida Suriyodara</t>
        </is>
      </c>
      <c r="C1060" s="2">
        <v>45898</v>
      </c>
      <c r="D1060" s="2"/>
      <c r="E1060" t="inlineStr">
        <is>
          <t>ปกติ</t>
        </is>
      </c>
      <c r="F1060" s="3"/>
      <c r="G1060"/>
      <c r="H1060" t="inlineStr">
        <is>
          <t>Shorts</t>
        </is>
      </c>
      <c r="I1060" t="inlineStr">
        <is>
          <t>งานประจำวัน</t>
        </is>
      </c>
      <c r="J1060" t="inlineStr">
        <is>
          <t>Done</t>
        </is>
      </c>
      <c r="K1060"/>
      <c r="L1060" s="3"/>
      <c r="M1060" t="inlineStr">
        <is>
          <t>1</t>
        </is>
      </c>
      <c r="N1060" t="inlineStr">
        <is>
          <t>AI</t>
        </is>
      </c>
      <c r="O1060"/>
    </row>
    <row r="1061" ht="12.75" customHeight="1">
      <c r="A1061" t="inlineStr">
        <is>
          <t xml:space="preserve">Google Vids </t>
        </is>
      </c>
      <c r="B1061" t="inlineStr">
        <is>
          <t>Nattida Suriyodara</t>
        </is>
      </c>
      <c r="C1061" s="2">
        <v>45898</v>
      </c>
      <c r="D1061" s="2"/>
      <c r="E1061" t="inlineStr">
        <is>
          <t>ปกติ</t>
        </is>
      </c>
      <c r="F1061" s="3" t="str">
        <f>=HYPERLINK("https://docs.google.com/videos/u/0/", "https://docs.google.com/videos/u/0/")</f>
        <v>https://docs.google.com/videos/u/0/</v>
      </c>
      <c r="G1061"/>
      <c r="H1061" t="inlineStr">
        <is>
          <t>Pic Posts / Album</t>
        </is>
      </c>
      <c r="I1061" t="inlineStr">
        <is>
          <t>งานประจำวัน</t>
        </is>
      </c>
      <c r="J1061" t="inlineStr">
        <is>
          <t>Done</t>
        </is>
      </c>
      <c r="K1061"/>
      <c r="L1061" s="3"/>
      <c r="M1061" t="inlineStr">
        <is>
          <t>1</t>
        </is>
      </c>
      <c r="N1061" t="inlineStr">
        <is>
          <t>AI</t>
        </is>
      </c>
      <c r="O1061"/>
    </row>
    <row r="1062" ht="12.75" customHeight="1">
      <c r="A1062" t="inlineStr">
        <is>
          <t>ไมค์ DJI Mic 3</t>
        </is>
      </c>
      <c r="B1062" t="inlineStr">
        <is>
          <t>Sasithakan Sritonthip</t>
        </is>
      </c>
      <c r="C1062" s="2">
        <v>45898</v>
      </c>
      <c r="D1062" s="2"/>
      <c r="E1062" t="inlineStr">
        <is>
          <t>ปกติ</t>
        </is>
      </c>
      <c r="F1062" s="3" t="str">
        <f>=HYPERLINK("https://www.theverge.com/news/767297/dji-mic-3-wireless-microphone-launch", "https://www.theverge.com/news/767297/dji-mic-3-wireless-microphone-launch")</f>
        <v>https://www.theverge.com/news/767297/dji-mic-3-wireless-microphone-launch</v>
      </c>
      <c r="G1062"/>
      <c r="H1062" t="inlineStr">
        <is>
          <t>Website</t>
        </is>
      </c>
      <c r="I1062" t="inlineStr">
        <is>
          <t>งานประจำวัน</t>
        </is>
      </c>
      <c r="J1062" t="inlineStr">
        <is>
          <t>Done</t>
        </is>
      </c>
      <c r="K1062"/>
      <c r="L1062" s="3"/>
      <c r="M1062" t="inlineStr">
        <is>
          <t>1</t>
        </is>
      </c>
      <c r="N1062" t="inlineStr">
        <is>
          <t>Tech</t>
        </is>
      </c>
      <c r="O1062"/>
    </row>
    <row r="1063" ht="12.75" customHeight="1">
      <c r="A1063" t="inlineStr">
        <is>
          <t>AIS Event</t>
        </is>
      </c>
      <c r="B1063" t="inlineStr">
        <is>
          <t>Saktaphat Kordjan</t>
        </is>
      </c>
      <c r="C1063" s="2">
        <v>45897</v>
      </c>
      <c r="D1063" s="2"/>
      <c r="E1063" t="inlineStr">
        <is>
          <t>ปกติ</t>
        </is>
      </c>
      <c r="F1063" s="3"/>
      <c r="G1063"/>
      <c r="H1063" t="inlineStr">
        <is>
          <t>Event, Website, Shorts</t>
        </is>
      </c>
      <c r="I1063" t="inlineStr">
        <is>
          <t>งานลูกค้า</t>
        </is>
      </c>
      <c r="J1063" t="inlineStr">
        <is>
          <t>Done</t>
        </is>
      </c>
      <c r="K1063"/>
      <c r="L1063" s="3"/>
      <c r="M1063" t="inlineStr">
        <is>
          <t>1</t>
        </is>
      </c>
      <c r="N1063" t="inlineStr">
        <is>
          <t>ทั่วไป, ลูกค้า</t>
        </is>
      </c>
      <c r="O1063" t="inlineStr">
        <is>
          <t>AIS</t>
        </is>
      </c>
    </row>
    <row r="1064" ht="12.75" customHeight="1">
      <c r="A1064" t="inlineStr">
        <is>
          <t>ทรู คอร์ปอเรชั่น อัปเกรด 5G คลื่น 2600 MHz เพิ่มที่นิมมาน-สนามบินเชียงใหม่</t>
        </is>
      </c>
      <c r="B1064" t="inlineStr">
        <is>
          <t>Sasithakan Sritonthip</t>
        </is>
      </c>
      <c r="C1064" s="2">
        <v>45897</v>
      </c>
      <c r="D1064" s="2"/>
      <c r="E1064" t="inlineStr">
        <is>
          <t>ปกติ</t>
        </is>
      </c>
      <c r="F1064" s="3" t="str">
        <f>=HYPERLINK("https://www.true.th/blog/true5g-19/", "https://www.true.th/blog/true5g-19/")</f>
        <v>https://www.true.th/blog/true5g-19/</v>
      </c>
      <c r="G1064"/>
      <c r="H1064" t="inlineStr">
        <is>
          <t>Website</t>
        </is>
      </c>
      <c r="I1064" t="inlineStr">
        <is>
          <t>งานลูกค้า</t>
        </is>
      </c>
      <c r="J1064" t="inlineStr">
        <is>
          <t>Done</t>
        </is>
      </c>
      <c r="K1064"/>
      <c r="L1064" s="3"/>
      <c r="M1064" t="inlineStr">
        <is>
          <t>1</t>
        </is>
      </c>
      <c r="N1064" t="inlineStr">
        <is>
          <t>ลูกค้า</t>
        </is>
      </c>
      <c r="O1064"/>
    </row>
    <row r="1065" ht="12.75" customHeight="1">
      <c r="A1065" t="inlineStr">
        <is>
          <t>OpenAI เรียกร้องให้ห้องปฏิบัติการ AI ทดสอบความปลอดภัยของโมเดลคู่แข่ง</t>
        </is>
      </c>
      <c r="B1065" t="inlineStr">
        <is>
          <t>Nattida Suriyodara</t>
        </is>
      </c>
      <c r="C1065" s="2">
        <v>45897</v>
      </c>
      <c r="D1065" s="2"/>
      <c r="E1065" t="inlineStr">
        <is>
          <t>ปกติ</t>
        </is>
      </c>
      <c r="F1065" s="3" t="str">
        <f>=HYPERLINK("https://techcrunch.com/2025/08/27/openai-co-founder-calls-for-ai-labs-to-safety-test-rival-models/", "https://techcrunch.com/2025/08/27/openai-co-founder-calls-for-ai-labs-to-safety-test-rival-models/")</f>
        <v>https://techcrunch.com/2025/08/27/openai-co-founder-calls-for-ai-labs-to-safety-test-rival-models/</v>
      </c>
      <c r="G1065"/>
      <c r="H1065" t="inlineStr">
        <is>
          <t>Website</t>
        </is>
      </c>
      <c r="I1065" t="inlineStr">
        <is>
          <t>งานประจำวัน</t>
        </is>
      </c>
      <c r="J1065" t="inlineStr">
        <is>
          <t>Done</t>
        </is>
      </c>
      <c r="K1065"/>
      <c r="L1065" s="3"/>
      <c r="M1065" t="inlineStr">
        <is>
          <t>1</t>
        </is>
      </c>
      <c r="N1065" t="inlineStr">
        <is>
          <t>AI</t>
        </is>
      </c>
      <c r="O1065"/>
    </row>
    <row r="1066" ht="12.75" customHeight="1">
      <c r="A1066" t="inlineStr">
        <is>
          <t>Windows 11 ปรับปรุงคุณภาพการใช้งานเสียง และ Bluetooth</t>
        </is>
      </c>
      <c r="B1066" t="inlineStr">
        <is>
          <t>Sasithakan Sritonthip</t>
        </is>
      </c>
      <c r="C1066" s="2">
        <v>45897</v>
      </c>
      <c r="D1066" s="2"/>
      <c r="E1066" t="inlineStr">
        <is>
          <t>ปกติ</t>
        </is>
      </c>
      <c r="F1066" s="3" t="str">
        <f>=HYPERLINK("https://www.theverge.com/news/766569/microsoft-windows-11-bluetooth-super-wideband-stereo-le-audio-voice-feature", "https://www.theverge.com/news/766569/microsoft-windows-11-bluetooth-super-wideband-stereo-le-audio-voice-feature")</f>
        <v>https://www.theverge.com/news/766569/microsoft-windows-11-bluetooth-super-wideband-stereo-le-audio-voice-feature</v>
      </c>
      <c r="G1066"/>
      <c r="H1066" t="inlineStr">
        <is>
          <t>Website</t>
        </is>
      </c>
      <c r="I1066" t="inlineStr">
        <is>
          <t>งานประจำวัน</t>
        </is>
      </c>
      <c r="J1066" t="inlineStr">
        <is>
          <t>Done</t>
        </is>
      </c>
      <c r="K1066"/>
      <c r="L1066" s="3"/>
      <c r="M1066" t="inlineStr">
        <is>
          <t>1</t>
        </is>
      </c>
      <c r="N1066" t="inlineStr">
        <is>
          <t>Tech</t>
        </is>
      </c>
      <c r="O1066"/>
    </row>
    <row r="1067" ht="12.75" customHeight="1">
      <c r="A1067" t="inlineStr">
        <is>
          <t>วิธีรวมรูปใน Gemini</t>
        </is>
      </c>
      <c r="B1067" t="inlineStr">
        <is>
          <t>Nattida Suriyodara,Sasithakan Sritonthip</t>
        </is>
      </c>
      <c r="C1067" s="2">
        <v>45897</v>
      </c>
      <c r="D1067" s="2"/>
      <c r="E1067" t="inlineStr">
        <is>
          <t>ปกติ</t>
        </is>
      </c>
      <c r="F1067" s="3" t="str">
        <f>=HYPERLINK("https://docs.google.com/presentation/d/1clE2RLWeCwXrqGqaU4H_TTVglP_p59zTbJtx02SE-3Y/edit?slide=id.g3780dcd8589_1_86#slide=id.g3780dcd8589_1_86", "https://docs.google.com/presentation/d/1clE2RLWeCwXrqGqaU4H_TTVglP_p59zTbJtx02SE-3Y/edit?slide=id.g3780dcd8589_1_86#slide=id.g3780dcd8589_1_86")</f>
        <v>https://docs.google.com/presentation/d/1clE2RLWeCwXrqGqaU4H_TTVglP_p59zTbJtx02SE-3Y/edit?slide=id.g3780dcd8589_1_86#slide=id.g3780dcd8589_1_86</v>
      </c>
      <c r="G1067"/>
      <c r="H1067" t="inlineStr">
        <is>
          <t>Shorts</t>
        </is>
      </c>
      <c r="I1067" t="inlineStr">
        <is>
          <t>งานประจำวัน</t>
        </is>
      </c>
      <c r="J1067" t="inlineStr">
        <is>
          <t>Done</t>
        </is>
      </c>
      <c r="K1067"/>
      <c r="L1067" s="3"/>
      <c r="M1067" t="inlineStr">
        <is>
          <t>1</t>
        </is>
      </c>
      <c r="N1067" t="inlineStr">
        <is>
          <t>AI</t>
        </is>
      </c>
      <c r="O1067"/>
    </row>
    <row r="1068" ht="12.75" customHeight="1">
      <c r="A1068" t="inlineStr">
        <is>
          <t>Apple ระงับการใช้งานแอป iTorrent จากตลาดแอปทางเลือกของสหภาพยุโรป</t>
        </is>
      </c>
      <c r="B1068" t="inlineStr">
        <is>
          <t>Sasithakan Sritonthip</t>
        </is>
      </c>
      <c r="C1068" s="2">
        <v>45897</v>
      </c>
      <c r="D1068" s="2"/>
      <c r="E1068" t="inlineStr">
        <is>
          <t>ปกติ</t>
        </is>
      </c>
      <c r="F1068" s="3" t="str">
        <f>=HYPERLINK("https://www.macrumors.com/2025/08/27/apple-blocks-itorrent-app-eu/", "https://www.macrumors.com/2025/08/27/apple-blocks-itorrent-app-eu/")</f>
        <v>https://www.macrumors.com/2025/08/27/apple-blocks-itorrent-app-eu/</v>
      </c>
      <c r="G1068"/>
      <c r="H1068" t="inlineStr">
        <is>
          <t>Website</t>
        </is>
      </c>
      <c r="I1068" t="inlineStr">
        <is>
          <t>งานประจำวัน</t>
        </is>
      </c>
      <c r="J1068" t="inlineStr">
        <is>
          <t>Done</t>
        </is>
      </c>
      <c r="K1068"/>
      <c r="L1068" s="3"/>
      <c r="M1068" t="inlineStr">
        <is>
          <t>1</t>
        </is>
      </c>
      <c r="N1068" t="inlineStr">
        <is>
          <t>Apple</t>
        </is>
      </c>
      <c r="O1068"/>
    </row>
    <row r="1069" ht="12.75" customHeight="1">
      <c r="A1069" t="inlineStr">
        <is>
          <t>Google Vids rolling out to free users</t>
        </is>
      </c>
      <c r="B1069" t="inlineStr">
        <is>
          <t>Sasithakan Sritonthip</t>
        </is>
      </c>
      <c r="C1069" s="2">
        <v>45897</v>
      </c>
      <c r="D1069" s="2"/>
      <c r="E1069" t="inlineStr">
        <is>
          <t>ปกติ</t>
        </is>
      </c>
      <c r="F1069" s="3" t="str">
        <f>=HYPERLINK("https://9to5google.com/2025/08/27/google-vids-free/", "https://9to5google.com/2025/08/27/google-vids-free/")</f>
        <v>https://9to5google.com/2025/08/27/google-vids-free/</v>
      </c>
      <c r="G1069"/>
      <c r="H1069" t="inlineStr">
        <is>
          <t>Website</t>
        </is>
      </c>
      <c r="I1069" t="inlineStr">
        <is>
          <t>งานประจำวัน</t>
        </is>
      </c>
      <c r="J1069" t="inlineStr">
        <is>
          <t>Done</t>
        </is>
      </c>
      <c r="K1069"/>
      <c r="L1069" s="3"/>
      <c r="M1069" t="inlineStr">
        <is>
          <t>1</t>
        </is>
      </c>
      <c r="N1069" t="inlineStr">
        <is>
          <t>Tech</t>
        </is>
      </c>
      <c r="O1069"/>
    </row>
    <row r="1070" ht="12.75" customHeight="1">
      <c r="A1070" t="inlineStr">
        <is>
          <t>Aukey Qi2 Event</t>
        </is>
      </c>
      <c r="B1070" t="inlineStr">
        <is>
          <t>Saktaphat Kordjan,Mewki_CKP</t>
        </is>
      </c>
      <c r="C1070" s="2">
        <v>45896</v>
      </c>
      <c r="D1070" s="2"/>
      <c r="E1070" t="inlineStr">
        <is>
          <t>ปกติ</t>
        </is>
      </c>
      <c r="F1070" s="3"/>
      <c r="G1070"/>
      <c r="H1070" t="inlineStr">
        <is>
          <t>Pic Posts / Album, YouTube, Shorts, Event</t>
        </is>
      </c>
      <c r="I1070" t="inlineStr">
        <is>
          <t>งานลูกค้า</t>
        </is>
      </c>
      <c r="J1070" t="inlineStr">
        <is>
          <t>Done</t>
        </is>
      </c>
      <c r="K1070"/>
      <c r="L1070" s="3"/>
      <c r="M1070" t="inlineStr">
        <is>
          <t>1</t>
        </is>
      </c>
      <c r="N1070" t="inlineStr">
        <is>
          <t>ลูกค้า, Tech</t>
        </is>
      </c>
      <c r="O1070" t="inlineStr">
        <is>
          <t>Aukey</t>
        </is>
      </c>
    </row>
    <row r="1071" ht="12.75" customHeight="1">
      <c r="A1071" t="inlineStr">
        <is>
          <t>Gemini อัปเดต AI สร้างรูปภาพ</t>
        </is>
      </c>
      <c r="B1071" t="inlineStr">
        <is>
          <t>Nattida Suriyodara</t>
        </is>
      </c>
      <c r="C1071" s="2">
        <v>45896</v>
      </c>
      <c r="D1071" s="2"/>
      <c r="E1071" t="inlineStr">
        <is>
          <t>ปกติ</t>
        </is>
      </c>
      <c r="F1071" s="3" t="str">
        <f>=HYPERLINK("https://www.cnet.com/tech/services-and-software/googles-new-ai-image-model-bananas-is-here-how-to-edit-your-photos-with-gemini/", "https://www.cnet.com/tech/services-and-software/googles-new-ai-image-model-bananas-is-here-how-to-edit-your-photos-with-gemini/https://deepmind.google/models/gemini/image/")</f>
        <v>https://www.cnet.com/tech/services-and-software/googles-new-ai-image-model-bananas-is-here-how-to-edit-your-photos-with-gemini/https://deepmind.google/models/gemini/image/</v>
      </c>
      <c r="G1071"/>
      <c r="H1071" t="inlineStr">
        <is>
          <t>Website</t>
        </is>
      </c>
      <c r="I1071" t="inlineStr">
        <is>
          <t>งานประจำวัน</t>
        </is>
      </c>
      <c r="J1071" t="inlineStr">
        <is>
          <t>Done</t>
        </is>
      </c>
      <c r="K1071"/>
      <c r="L1071" s="3"/>
      <c r="M1071" t="inlineStr">
        <is>
          <t>1</t>
        </is>
      </c>
      <c r="N1071" t="inlineStr">
        <is>
          <t>AI</t>
        </is>
      </c>
      <c r="O1071"/>
    </row>
    <row r="1072" ht="12.75" customHeight="1">
      <c r="A1072" t="inlineStr">
        <is>
          <t>Gemini อัปเดต AI สร้างรูปภาพ</t>
        </is>
      </c>
      <c r="B1072" t="inlineStr">
        <is>
          <t>Nattida Suriyodara,Sasithakan Sritonthip</t>
        </is>
      </c>
      <c r="C1072" s="2">
        <v>45896</v>
      </c>
      <c r="D1072" s="2"/>
      <c r="E1072" t="inlineStr">
        <is>
          <t>ปกติ</t>
        </is>
      </c>
      <c r="F1072" s="3"/>
      <c r="G1072"/>
      <c r="H1072" t="inlineStr">
        <is>
          <t>Shorts</t>
        </is>
      </c>
      <c r="I1072" t="inlineStr">
        <is>
          <t>งานประจำวัน</t>
        </is>
      </c>
      <c r="J1072" t="inlineStr">
        <is>
          <t>Done</t>
        </is>
      </c>
      <c r="K1072"/>
      <c r="L1072" s="3"/>
      <c r="M1072" t="inlineStr">
        <is>
          <t>1</t>
        </is>
      </c>
      <c r="N1072" t="inlineStr">
        <is>
          <t>AI</t>
        </is>
      </c>
      <c r="O1072"/>
    </row>
    <row r="1073" ht="12.75" customHeight="1">
      <c r="A1073" t="inlineStr">
        <is>
          <t>Spotify เปิดตัวฟีเจอร์ส่งข้อความ</t>
        </is>
      </c>
      <c r="B1073" t="inlineStr">
        <is>
          <t>Nattida Suriyodara</t>
        </is>
      </c>
      <c r="C1073" s="2">
        <v>45896</v>
      </c>
      <c r="D1073" s="2"/>
      <c r="E1073" t="inlineStr">
        <is>
          <t>ปกติ</t>
        </is>
      </c>
      <c r="F1073" s="3" t="str">
        <f>=HYPERLINK("https://www.reuters.com/business/spotify-announces-messaging-feature-free-premium-users-2025-08-26/", "https://www.reuters.com/business/spotify-announces-messaging-feature-free-premium-users-2025-08-26/")</f>
        <v>https://www.reuters.com/business/spotify-announces-messaging-feature-free-premium-users-2025-08-26/</v>
      </c>
      <c r="G1073"/>
      <c r="H1073" t="inlineStr">
        <is>
          <t>Website</t>
        </is>
      </c>
      <c r="I1073" t="inlineStr">
        <is>
          <t>งานประจำวัน</t>
        </is>
      </c>
      <c r="J1073" t="inlineStr">
        <is>
          <t>Done</t>
        </is>
      </c>
      <c r="K1073"/>
      <c r="L1073" s="3"/>
      <c r="M1073" t="inlineStr">
        <is>
          <t>1</t>
        </is>
      </c>
      <c r="N1073" t="inlineStr">
        <is>
          <t>ทั่วไป</t>
        </is>
      </c>
      <c r="O1073"/>
    </row>
    <row r="1074" ht="12.75" customHeight="1">
      <c r="A1074" t="inlineStr">
        <is>
          <t>ฟีเจอร์ฝึกเรียนรู้และแปลภาษาใหม่! ของ Google Translate</t>
        </is>
      </c>
      <c r="B1074" t="inlineStr">
        <is>
          <t>Sasithakan Sritonthip</t>
        </is>
      </c>
      <c r="C1074" s="2">
        <v>45896</v>
      </c>
      <c r="D1074" s="2"/>
      <c r="E1074" t="inlineStr">
        <is>
          <t>ปกติ</t>
        </is>
      </c>
      <c r="F1074" s="3" t="str">
        <f>=HYPERLINK("https://www.engadget.com/apps/google-translates-latest-feature-is-its-take-on-duolingo-160035157.html", "https://www.engadget.com/apps/google-translates-latest-feature-is-its-take-on-duolingo-160035157.html")</f>
        <v>https://www.engadget.com/apps/google-translates-latest-feature-is-its-take-on-duolingo-160035157.html</v>
      </c>
      <c r="G1074"/>
      <c r="H1074" t="inlineStr">
        <is>
          <t>Website, Pic Posts / Album</t>
        </is>
      </c>
      <c r="I1074" t="inlineStr">
        <is>
          <t>งานประจำวัน</t>
        </is>
      </c>
      <c r="J1074" t="inlineStr">
        <is>
          <t>Done</t>
        </is>
      </c>
      <c r="K1074"/>
      <c r="L1074" s="3"/>
      <c r="M1074" t="inlineStr">
        <is>
          <t>1</t>
        </is>
      </c>
      <c r="N1074" t="inlineStr">
        <is>
          <t>AI, Tech</t>
        </is>
      </c>
      <c r="O1074"/>
    </row>
    <row r="1075" ht="12.75" customHeight="1">
      <c r="A1075" t="inlineStr">
        <is>
          <t>Android XR  ของ Samsung อาจมีราคามากกว่า ฿90,000</t>
        </is>
      </c>
      <c r="B1075" t="inlineStr">
        <is>
          <t>Saktaphat Kordjan</t>
        </is>
      </c>
      <c r="C1075" s="2">
        <v>45896</v>
      </c>
      <c r="D1075" s="2"/>
      <c r="E1075" t="inlineStr">
        <is>
          <t>ปกติ</t>
        </is>
      </c>
      <c r="F1075" s="3"/>
      <c r="G1075"/>
      <c r="H1075" t="inlineStr">
        <is>
          <t>Website</t>
        </is>
      </c>
      <c r="I1075" t="inlineStr">
        <is>
          <t>งานประจำวัน</t>
        </is>
      </c>
      <c r="J1075" t="inlineStr">
        <is>
          <t>Done</t>
        </is>
      </c>
      <c r="K1075"/>
      <c r="L1075" s="3"/>
      <c r="M1075" t="inlineStr">
        <is>
          <t>1</t>
        </is>
      </c>
      <c r="N1075" t="inlineStr">
        <is>
          <t>Android, Tech</t>
        </is>
      </c>
      <c r="O1075"/>
    </row>
    <row r="1076" ht="12.75" customHeight="1">
      <c r="A1076" t="inlineStr">
        <is>
          <t>ฟีเจอร์ใหม่ Windows 11 ทำงานกับอุปกรณ์ Galaxy ไร้รอยต่อ</t>
        </is>
      </c>
      <c r="B1076" t="inlineStr">
        <is>
          <t>Saktaphat Kordjan</t>
        </is>
      </c>
      <c r="C1076" s="2">
        <v>45896</v>
      </c>
      <c r="D1076" s="2"/>
      <c r="E1076" t="inlineStr">
        <is>
          <t>ปกติ</t>
        </is>
      </c>
      <c r="F1076" s="3"/>
      <c r="G1076"/>
      <c r="H1076" t="inlineStr">
        <is>
          <t>Website</t>
        </is>
      </c>
      <c r="I1076" t="inlineStr">
        <is>
          <t>งานประจำวัน</t>
        </is>
      </c>
      <c r="J1076" t="inlineStr">
        <is>
          <t>Done</t>
        </is>
      </c>
      <c r="K1076"/>
      <c r="L1076" s="3"/>
      <c r="M1076" t="inlineStr">
        <is>
          <t>1</t>
        </is>
      </c>
      <c r="N1076" t="inlineStr">
        <is>
          <t>Android</t>
        </is>
      </c>
      <c r="O1076"/>
    </row>
    <row r="1077" ht="12.75" customHeight="1">
      <c r="A1077" t="inlineStr">
        <is>
          <t>Gemini 2.5 Flash อัปเดตใหม่</t>
        </is>
      </c>
      <c r="B1077" t="inlineStr">
        <is>
          <t>Nattida Suriyodara</t>
        </is>
      </c>
      <c r="C1077" s="2">
        <v>45896</v>
      </c>
      <c r="D1077" s="2"/>
      <c r="E1077" t="inlineStr">
        <is>
          <t>ปกติ</t>
        </is>
      </c>
      <c r="F1077" s="3"/>
      <c r="G1077"/>
      <c r="H1077" t="inlineStr">
        <is>
          <t>Pic Posts / Album</t>
        </is>
      </c>
      <c r="I1077" t="inlineStr">
        <is>
          <t>งานประจำวัน</t>
        </is>
      </c>
      <c r="J1077" t="inlineStr">
        <is>
          <t>Done</t>
        </is>
      </c>
      <c r="K1077"/>
      <c r="L1077" s="3"/>
      <c r="M1077" t="inlineStr">
        <is>
          <t>1</t>
        </is>
      </c>
      <c r="N1077" t="inlineStr">
        <is>
          <t>AI</t>
        </is>
      </c>
      <c r="O1077"/>
    </row>
    <row r="1078" ht="12.75" customHeight="1">
      <c r="A1078" t="inlineStr">
        <is>
          <t>ลองสร้างรูปภาพคนถือสินค้าด้วย Gemini</t>
        </is>
      </c>
      <c r="B1078" t="inlineStr">
        <is>
          <t>Nattida Suriyodara</t>
        </is>
      </c>
      <c r="C1078" s="2">
        <v>45896</v>
      </c>
      <c r="D1078" s="2"/>
      <c r="E1078" t="inlineStr">
        <is>
          <t>ปกติ</t>
        </is>
      </c>
      <c r="F1078" s="3"/>
      <c r="G1078"/>
      <c r="H1078" t="inlineStr">
        <is>
          <t>Website</t>
        </is>
      </c>
      <c r="I1078" t="inlineStr">
        <is>
          <t>งานประจำวัน</t>
        </is>
      </c>
      <c r="J1078" t="inlineStr">
        <is>
          <t>Done</t>
        </is>
      </c>
      <c r="K1078"/>
      <c r="L1078" s="3"/>
      <c r="M1078" t="inlineStr">
        <is>
          <t>1</t>
        </is>
      </c>
      <c r="N1078" t="inlineStr">
        <is>
          <t>AI</t>
        </is>
      </c>
      <c r="O1078"/>
    </row>
    <row r="1079" ht="12.75" customHeight="1">
      <c r="A1079" t="inlineStr">
        <is>
          <t>Vivo V60</t>
        </is>
      </c>
      <c r="B1079" t="inlineStr">
        <is>
          <t>Nattida Suriyodara</t>
        </is>
      </c>
      <c r="C1079" s="2">
        <v>45896</v>
      </c>
      <c r="D1079" s="2"/>
      <c r="E1079" t="inlineStr">
        <is>
          <t>ด่วน!</t>
        </is>
      </c>
      <c r="F1079" s="3"/>
      <c r="G1079"/>
      <c r="H1079" t="inlineStr">
        <is>
          <t>Pic Posts / Album</t>
        </is>
      </c>
      <c r="I1079" t="inlineStr">
        <is>
          <t>งานลูกค้า</t>
        </is>
      </c>
      <c r="J1079" t="inlineStr">
        <is>
          <t>Done</t>
        </is>
      </c>
      <c r="K1079"/>
      <c r="L1079" s="3"/>
      <c r="M1079" t="inlineStr">
        <is>
          <t>1</t>
        </is>
      </c>
      <c r="N1079" t="inlineStr">
        <is>
          <t>Android</t>
        </is>
      </c>
      <c r="O1079" t="inlineStr">
        <is>
          <t>Vivo</t>
        </is>
      </c>
    </row>
    <row r="1080" ht="12.75" customHeight="1">
      <c r="A1080" t="inlineStr">
        <is>
          <t>เว็บเบราว์เซอร์ Comet AI ของ Perplexity มีช่องโหว่ด้านความปลอดภัยที่สําคัญ</t>
        </is>
      </c>
      <c r="B1080" t="inlineStr">
        <is>
          <t>Nattida Suriyodara</t>
        </is>
      </c>
      <c r="C1080" s="2">
        <v>45895</v>
      </c>
      <c r="D1080" s="2"/>
      <c r="E1080" t="inlineStr">
        <is>
          <t>ปกติ</t>
        </is>
      </c>
      <c r="F1080" s="3" t="str">
        <f>=HYPERLINK("https://www.cnet.com/tech/services-and-software/perplexitys-comet-ai-web-browser-had-a-major-security-vulnerability/", "https://www.cnet.com/tech/services-and-software/perplexitys-comet-ai-web-browser-had-a-major-security-vulnerability/")</f>
        <v>https://www.cnet.com/tech/services-and-software/perplexitys-comet-ai-web-browser-had-a-major-security-vulnerability/</v>
      </c>
      <c r="G1080"/>
      <c r="H1080" t="inlineStr">
        <is>
          <t>Website</t>
        </is>
      </c>
      <c r="I1080" t="inlineStr">
        <is>
          <t>งานประจำวัน</t>
        </is>
      </c>
      <c r="J1080" t="inlineStr">
        <is>
          <t>Done</t>
        </is>
      </c>
      <c r="K1080"/>
      <c r="L1080" s="3"/>
      <c r="M1080" t="inlineStr">
        <is>
          <t>1</t>
        </is>
      </c>
      <c r="N1080" t="inlineStr">
        <is>
          <t>AI</t>
        </is>
      </c>
      <c r="O1080"/>
    </row>
    <row r="1081" ht="12.75" customHeight="1">
      <c r="A1081" t="inlineStr">
        <is>
          <t>7 ฟีเจอร์ AI ที่ iPhone 17  ควรเอาอย่าง Google, OpenAI etc.</t>
        </is>
      </c>
      <c r="B1081" t="inlineStr">
        <is>
          <t>Saktaphat Kordjan</t>
        </is>
      </c>
      <c r="C1081" s="2">
        <v>45895</v>
      </c>
      <c r="D1081" s="2"/>
      <c r="E1081" t="inlineStr">
        <is>
          <t>ปกติ</t>
        </is>
      </c>
      <c r="F1081" s="3"/>
      <c r="G1081"/>
      <c r="H1081" t="inlineStr">
        <is>
          <t>Website, Shorts</t>
        </is>
      </c>
      <c r="I1081" t="inlineStr">
        <is>
          <t>งานประจำวัน</t>
        </is>
      </c>
      <c r="J1081" t="inlineStr">
        <is>
          <t>Done</t>
        </is>
      </c>
      <c r="K1081"/>
      <c r="L1081" s="3"/>
      <c r="M1081" t="inlineStr">
        <is>
          <t>1</t>
        </is>
      </c>
      <c r="N1081" t="inlineStr">
        <is>
          <t>AI, Apple</t>
        </is>
      </c>
      <c r="O1081"/>
    </row>
    <row r="1082" ht="12.75" customHeight="1">
      <c r="A1082" t="inlineStr">
        <is>
          <t>NotebookLM’s Video Overviews รองรับมากถึง 80 ภาษา</t>
        </is>
      </c>
      <c r="B1082" t="inlineStr">
        <is>
          <t>Nattida Suriyodara</t>
        </is>
      </c>
      <c r="C1082" s="2">
        <v>45895</v>
      </c>
      <c r="D1082" s="2"/>
      <c r="E1082" t="inlineStr">
        <is>
          <t>ปกติ</t>
        </is>
      </c>
      <c r="F1082" s="3" t="str">
        <f>=HYPERLINK("https://techcrunch.com/2025/08/25/notebooklms-video-overview-feature-now-supports-80-languages/", "https://techcrunch.com/2025/08/25/notebooklms-video-overview-feature-now-supports-80-languages/")</f>
        <v>https://techcrunch.com/2025/08/25/notebooklms-video-overview-feature-now-supports-80-languages/</v>
      </c>
      <c r="G1082"/>
      <c r="H1082" t="inlineStr">
        <is>
          <t>Website</t>
        </is>
      </c>
      <c r="I1082" t="inlineStr">
        <is>
          <t>งานประจำวัน</t>
        </is>
      </c>
      <c r="J1082" t="inlineStr">
        <is>
          <t>Done</t>
        </is>
      </c>
      <c r="K1082"/>
      <c r="L1082" s="3"/>
      <c r="M1082" t="inlineStr">
        <is>
          <t>1</t>
        </is>
      </c>
      <c r="N1082" t="inlineStr">
        <is>
          <t>AI</t>
        </is>
      </c>
      <c r="O1082"/>
    </row>
    <row r="1083" ht="12.75" customHeight="1">
      <c r="A1083" t="inlineStr">
        <is>
          <t>ลือ! Apple อาจนำ Touch ID กลับมาใช้บน iPhone จอพับ</t>
        </is>
      </c>
      <c r="B1083" t="inlineStr">
        <is>
          <t>Sasithakan Sritonthip</t>
        </is>
      </c>
      <c r="C1083" s="2">
        <v>45895</v>
      </c>
      <c r="D1083" s="2"/>
      <c r="E1083" t="inlineStr">
        <is>
          <t>ปกติ</t>
        </is>
      </c>
      <c r="F1083" s="3" t="str">
        <f>=HYPERLINK("https://www.engadget.com/mobile/apple-will-reportedly-bring-back-touch-id-on-a-foldable-iphone-135831748.html", "https://www.engadget.com/mobile/apple-will-reportedly-bring-back-touch-id-on-a-foldable-iphone-135831748.html")</f>
        <v>https://www.engadget.com/mobile/apple-will-reportedly-bring-back-touch-id-on-a-foldable-iphone-135831748.html</v>
      </c>
      <c r="G1083"/>
      <c r="H1083" t="inlineStr">
        <is>
          <t>Website</t>
        </is>
      </c>
      <c r="I1083" t="inlineStr">
        <is>
          <t>งานประจำวัน</t>
        </is>
      </c>
      <c r="J1083" t="inlineStr">
        <is>
          <t>Done</t>
        </is>
      </c>
      <c r="K1083"/>
      <c r="L1083" s="3"/>
      <c r="M1083" t="inlineStr">
        <is>
          <t>1</t>
        </is>
      </c>
      <c r="N1083" t="inlineStr">
        <is>
          <t>Apple</t>
        </is>
      </c>
      <c r="O1083"/>
    </row>
    <row r="1084" ht="12.75" customHeight="1">
      <c r="A1084" t="inlineStr">
        <is>
          <t>หลุดสเปค Samsung Galaxy S25 FE</t>
        </is>
      </c>
      <c r="B1084" t="inlineStr">
        <is>
          <t>Saktaphat Kordjan</t>
        </is>
      </c>
      <c r="C1084" s="2">
        <v>45895</v>
      </c>
      <c r="D1084" s="2"/>
      <c r="E1084" t="inlineStr">
        <is>
          <t>ปกติ</t>
        </is>
      </c>
      <c r="F1084" s="3"/>
      <c r="G1084"/>
      <c r="H1084" t="inlineStr">
        <is>
          <t>Website</t>
        </is>
      </c>
      <c r="I1084" t="inlineStr">
        <is>
          <t>งานประจำวัน</t>
        </is>
      </c>
      <c r="J1084" t="inlineStr">
        <is>
          <t>Done</t>
        </is>
      </c>
      <c r="K1084"/>
      <c r="L1084" s="3"/>
      <c r="M1084" t="inlineStr">
        <is>
          <t>1</t>
        </is>
      </c>
      <c r="N1084" t="inlineStr">
        <is>
          <t>Android</t>
        </is>
      </c>
      <c r="O1084"/>
    </row>
    <row r="1085" ht="12.75" customHeight="1">
      <c r="A1085" t="inlineStr">
        <is>
          <t>Google Photos viewer ที่ออกแบบใหม่ ใช้งานได้แล้วบน Android</t>
        </is>
      </c>
      <c r="B1085" t="inlineStr">
        <is>
          <t>Sasithakan Sritonthip</t>
        </is>
      </c>
      <c r="C1085" s="2">
        <v>45895</v>
      </c>
      <c r="D1085" s="2"/>
      <c r="E1085" t="inlineStr">
        <is>
          <t>ปกติ</t>
        </is>
      </c>
      <c r="F1085" s="3" t="str">
        <f>=HYPERLINK("https://9to5google.com/2025/08/25/google-photos-viewer-redesign-android/", "https://9to5google.com/2025/08/25/google-photos-viewer-redesign-android/")</f>
        <v>https://9to5google.com/2025/08/25/google-photos-viewer-redesign-android/</v>
      </c>
      <c r="G1085"/>
      <c r="H1085" t="inlineStr">
        <is>
          <t>Website</t>
        </is>
      </c>
      <c r="I1085" t="inlineStr">
        <is>
          <t>งานประจำวัน</t>
        </is>
      </c>
      <c r="J1085" t="inlineStr">
        <is>
          <t>Done</t>
        </is>
      </c>
      <c r="K1085"/>
      <c r="L1085" s="3"/>
      <c r="M1085" t="inlineStr">
        <is>
          <t>1</t>
        </is>
      </c>
      <c r="N1085" t="inlineStr">
        <is>
          <t>Android</t>
        </is>
      </c>
      <c r="O1085"/>
    </row>
    <row r="1086" ht="12.75" customHeight="1">
      <c r="A1086" t="inlineStr">
        <is>
          <t>Video Overviews รองรับภาษาไทยแล้ว</t>
        </is>
      </c>
      <c r="B1086" t="inlineStr">
        <is>
          <t>Nattida Suriyodara</t>
        </is>
      </c>
      <c r="C1086" s="2">
        <v>45895</v>
      </c>
      <c r="D1086" s="2"/>
      <c r="E1086" t="inlineStr">
        <is>
          <t>ปกติ</t>
        </is>
      </c>
      <c r="F1086" s="3"/>
      <c r="G1086"/>
      <c r="H1086" t="inlineStr">
        <is>
          <t>Pic Posts / Album</t>
        </is>
      </c>
      <c r="I1086" t="inlineStr">
        <is>
          <t>งานประจำวัน</t>
        </is>
      </c>
      <c r="J1086" t="inlineStr">
        <is>
          <t>Done</t>
        </is>
      </c>
      <c r="K1086"/>
      <c r="L1086" s="3"/>
      <c r="M1086" t="inlineStr">
        <is>
          <t>1</t>
        </is>
      </c>
      <c r="N1086" t="inlineStr">
        <is>
          <t>AI</t>
        </is>
      </c>
      <c r="O1086"/>
    </row>
    <row r="1087" ht="12.75" customHeight="1">
      <c r="A1087" t="inlineStr">
        <is>
          <t>Spotify และ YouTube Music ทดสอบดีไซน์ใหม่บน Android Auto</t>
        </is>
      </c>
      <c r="B1087" t="inlineStr">
        <is>
          <t>Saktaphat Kordjan</t>
        </is>
      </c>
      <c r="C1087" s="2">
        <v>45895</v>
      </c>
      <c r="D1087" s="2"/>
      <c r="E1087" t="inlineStr">
        <is>
          <t>ปกติ</t>
        </is>
      </c>
      <c r="F1087" s="3"/>
      <c r="G1087"/>
      <c r="H1087" t="inlineStr">
        <is>
          <t>Website</t>
        </is>
      </c>
      <c r="I1087" t="inlineStr">
        <is>
          <t>งานประจำวัน</t>
        </is>
      </c>
      <c r="J1087" t="inlineStr">
        <is>
          <t>Done</t>
        </is>
      </c>
      <c r="K1087"/>
      <c r="L1087" s="3"/>
      <c r="M1087" t="inlineStr">
        <is>
          <t>1</t>
        </is>
      </c>
      <c r="N1087" t="inlineStr">
        <is>
          <t>Android</t>
        </is>
      </c>
      <c r="O1087"/>
    </row>
    <row r="1088" ht="12.75" customHeight="1">
      <c r="A1088" t="inlineStr">
        <is>
          <t xml:space="preserve">อัปเดต NotebookLM </t>
        </is>
      </c>
      <c r="B1088" t="inlineStr">
        <is>
          <t>Nattida Suriyodara</t>
        </is>
      </c>
      <c r="C1088" s="2">
        <v>45895</v>
      </c>
      <c r="D1088" s="2"/>
      <c r="E1088" t="inlineStr">
        <is>
          <t>ปกติ</t>
        </is>
      </c>
      <c r="F1088" s="3"/>
      <c r="G1088"/>
      <c r="H1088" t="inlineStr">
        <is>
          <t>YouTube</t>
        </is>
      </c>
      <c r="I1088" t="inlineStr">
        <is>
          <t>งานประจำวัน</t>
        </is>
      </c>
      <c r="J1088" t="inlineStr">
        <is>
          <t>Done</t>
        </is>
      </c>
      <c r="K1088"/>
      <c r="L1088" s="3"/>
      <c r="M1088" t="inlineStr">
        <is>
          <t>1</t>
        </is>
      </c>
      <c r="N1088" t="inlineStr">
        <is>
          <t>AI</t>
        </is>
      </c>
      <c r="O1088"/>
    </row>
    <row r="1089" ht="12.75" customHeight="1">
      <c r="A1089" t="inlineStr">
        <is>
          <t>Samsung ยืนยัน One UI 8 เวอร์ชันเสถียร เป็นไปตามกำหนดการ ไม่มีการเลื่อน</t>
        </is>
      </c>
      <c r="B1089" t="inlineStr">
        <is>
          <t>Saktaphat Kordjan</t>
        </is>
      </c>
      <c r="C1089" s="2">
        <v>45895</v>
      </c>
      <c r="D1089" s="2"/>
      <c r="E1089" t="inlineStr">
        <is>
          <t>ปกติ</t>
        </is>
      </c>
      <c r="F1089" s="3"/>
      <c r="G1089"/>
      <c r="H1089" t="inlineStr">
        <is>
          <t>Website</t>
        </is>
      </c>
      <c r="I1089" t="inlineStr">
        <is>
          <t>งานประจำวัน</t>
        </is>
      </c>
      <c r="J1089" t="inlineStr">
        <is>
          <t>Done</t>
        </is>
      </c>
      <c r="K1089"/>
      <c r="L1089" s="3"/>
      <c r="M1089" t="inlineStr">
        <is>
          <t>1</t>
        </is>
      </c>
      <c r="N1089" t="inlineStr">
        <is>
          <t>Android</t>
        </is>
      </c>
      <c r="O1089"/>
    </row>
    <row r="1090" ht="12.75" customHeight="1">
      <c r="A1090" t="inlineStr">
        <is>
          <t>Apple ฟ้องอดีตพนักงานฐานขโมยความลับ Apple Watch ไปให้ Oppo</t>
        </is>
      </c>
      <c r="B1090" t="inlineStr">
        <is>
          <t>Nattida Suriyodara,Sasithakan Sritonthip</t>
        </is>
      </c>
      <c r="C1090" s="2">
        <v>45894</v>
      </c>
      <c r="D1090" s="2"/>
      <c r="E1090" t="inlineStr">
        <is>
          <t>ปกติ</t>
        </is>
      </c>
      <c r="F1090" s="3" t="str">
        <f>=HYPERLINK("https://www.iphonemod.net/apple-sues-ex-employee-stole-apple-watch-secrets-for-oppo.html", "https://www.iphonemod.net/apple-sues-ex-employee-stole-apple-watch-secrets-for-oppo.html")</f>
        <v>https://www.iphonemod.net/apple-sues-ex-employee-stole-apple-watch-secrets-for-oppo.html</v>
      </c>
      <c r="G1090"/>
      <c r="H1090" t="inlineStr">
        <is>
          <t>Shorts</t>
        </is>
      </c>
      <c r="I1090" t="inlineStr">
        <is>
          <t>งานประจำวัน</t>
        </is>
      </c>
      <c r="J1090" t="inlineStr">
        <is>
          <t>Done</t>
        </is>
      </c>
      <c r="K1090"/>
      <c r="L1090" s="3"/>
      <c r="M1090" t="inlineStr">
        <is>
          <t>1</t>
        </is>
      </c>
      <c r="N1090" t="inlineStr">
        <is>
          <t>Apple</t>
        </is>
      </c>
      <c r="O1090"/>
    </row>
    <row r="1091" ht="12.75" customHeight="1">
      <c r="A1091" t="inlineStr">
        <is>
          <t>ลือ! Apple สนใจใช้โมเดล Geminiในการอัปเกรด Siri</t>
        </is>
      </c>
      <c r="B1091" t="inlineStr">
        <is>
          <t>Sasithakan Sritonthip</t>
        </is>
      </c>
      <c r="C1091" s="2">
        <v>45894</v>
      </c>
      <c r="D1091" s="2"/>
      <c r="E1091" t="inlineStr">
        <is>
          <t>ปกติ</t>
        </is>
      </c>
      <c r="F1091" s="3" t="str">
        <f>=HYPERLINK("https://sea.mashable.com/tech/39229/apple-eyes-google-gemini-for-siri-upgrade", "https://sea.mashable.com/tech/39229/apple-eyes-google-gemini-for-siri-upgrade")</f>
        <v>https://sea.mashable.com/tech/39229/apple-eyes-google-gemini-for-siri-upgrade</v>
      </c>
      <c r="G1091"/>
      <c r="H1091" t="inlineStr">
        <is>
          <t>Website</t>
        </is>
      </c>
      <c r="I1091" t="inlineStr">
        <is>
          <t>งานประจำวัน</t>
        </is>
      </c>
      <c r="J1091" t="inlineStr">
        <is>
          <t>Done</t>
        </is>
      </c>
      <c r="K1091"/>
      <c r="L1091" s="3"/>
      <c r="M1091" t="inlineStr">
        <is>
          <t>1</t>
        </is>
      </c>
      <c r="N1091" t="inlineStr">
        <is>
          <t>Apple</t>
        </is>
      </c>
      <c r="O1091"/>
    </row>
    <row r="1092" ht="12.75" customHeight="1">
      <c r="A1092" t="inlineStr">
        <is>
          <t>แอป ‘Grano’</t>
        </is>
      </c>
      <c r="B1092" t="inlineStr">
        <is>
          <t>Sasithakan Sritonthip</t>
        </is>
      </c>
      <c r="C1092" s="2">
        <v>45894</v>
      </c>
      <c r="D1092" s="2"/>
      <c r="E1092" t="inlineStr">
        <is>
          <t>ปกติ</t>
        </is>
      </c>
      <c r="F1092" s="3" t="str">
        <f>=HYPERLINK("https://9to5mac.com/2025/08/23/indie-app-spotlight-grano-food-barcode-scanner-for-iphone/", "https://9to5mac.com/2025/08/23/indie-app-spotlight-grano-food-barcode-scanner-for-iphone/")</f>
        <v>https://9to5mac.com/2025/08/23/indie-app-spotlight-grano-food-barcode-scanner-for-iphone/</v>
      </c>
      <c r="G1092"/>
      <c r="H1092" t="inlineStr">
        <is>
          <t>Website</t>
        </is>
      </c>
      <c r="I1092" t="inlineStr">
        <is>
          <t>งานประจำวัน</t>
        </is>
      </c>
      <c r="J1092" t="inlineStr">
        <is>
          <t>Done</t>
        </is>
      </c>
      <c r="K1092"/>
      <c r="L1092" s="3"/>
      <c r="M1092" t="inlineStr">
        <is>
          <t>1</t>
        </is>
      </c>
      <c r="N1092" t="inlineStr">
        <is>
          <t>Apple</t>
        </is>
      </c>
      <c r="O1092"/>
    </row>
    <row r="1093" ht="12.75" customHeight="1">
      <c r="A1093" t="inlineStr">
        <is>
          <t>ChatGPT ใช้ Google Search เพื่อตอบคำถาม 'แบบเรียลไทม์' ของคุณ</t>
        </is>
      </c>
      <c r="B1093" t="inlineStr">
        <is>
          <t>Nattida Suriyodara</t>
        </is>
      </c>
      <c r="C1093" s="2">
        <v>45894</v>
      </c>
      <c r="D1093" s="2"/>
      <c r="E1093" t="inlineStr">
        <is>
          <t>ปกติ</t>
        </is>
      </c>
      <c r="F1093" s="3" t="str">
        <f>=HYPERLINK("https://www.financialexpress.com/life/technology-chatgpt-uses-google-search-for-answering-your-real-time-questions-reveals-latest-report-3956031/", "https://www.financialexpress.com/life/technology-chatgpt-uses-google-search-for-answering-your-real-time-questions-reveals-latest-report-3956031/")</f>
        <v>https://www.financialexpress.com/life/technology-chatgpt-uses-google-search-for-answering-your-real-time-questions-reveals-latest-report-3956031/</v>
      </c>
      <c r="G1093"/>
      <c r="H1093" t="inlineStr">
        <is>
          <t>Website</t>
        </is>
      </c>
      <c r="I1093" t="inlineStr">
        <is>
          <t>งานประจำวัน</t>
        </is>
      </c>
      <c r="J1093" t="inlineStr">
        <is>
          <t>Done</t>
        </is>
      </c>
      <c r="K1093"/>
      <c r="L1093" s="3"/>
      <c r="M1093" t="inlineStr">
        <is>
          <t>1</t>
        </is>
      </c>
      <c r="N1093" t="inlineStr">
        <is>
          <t>AI</t>
        </is>
      </c>
      <c r="O1093"/>
    </row>
    <row r="1094" ht="12.75" customHeight="1">
      <c r="A1094" t="inlineStr">
        <is>
          <t>Google อ้างว่า Gemini ใช้พลังงานน้อยลงต่อข้อความแจ้งเตือน</t>
        </is>
      </c>
      <c r="B1094" t="inlineStr">
        <is>
          <t>Nattida Suriyodara</t>
        </is>
      </c>
      <c r="C1094" s="2">
        <v>45894</v>
      </c>
      <c r="D1094" s="2"/>
      <c r="E1094" t="inlineStr">
        <is>
          <t>ปกติ</t>
        </is>
      </c>
      <c r="F1094" s="3" t="str">
        <f>=HYPERLINK("https://dig.watch/updates/google-claims-gemini-uses-less-water-and-energy-per-text-prompt", "https://dig.watch/updates/google-claims-gemini-uses-less-water-and-energy-per-text-prompt")</f>
        <v>https://dig.watch/updates/google-claims-gemini-uses-less-water-and-energy-per-text-prompt</v>
      </c>
      <c r="G1094"/>
      <c r="H1094" t="inlineStr">
        <is>
          <t>Website</t>
        </is>
      </c>
      <c r="I1094" t="inlineStr">
        <is>
          <t>งานประจำวัน</t>
        </is>
      </c>
      <c r="J1094" t="inlineStr">
        <is>
          <t>Done</t>
        </is>
      </c>
      <c r="K1094"/>
      <c r="L1094" s="3"/>
      <c r="M1094" t="inlineStr">
        <is>
          <t>1</t>
        </is>
      </c>
      <c r="N1094" t="inlineStr">
        <is>
          <t>AI</t>
        </is>
      </c>
      <c r="O1094"/>
    </row>
    <row r="1095" ht="12.75" customHeight="1">
      <c r="A1095" t="inlineStr">
        <is>
          <t>Now Bar บน One UI 8 สามารถแสดงสถานะหุ้นแบบเรียลไทม์</t>
        </is>
      </c>
      <c r="B1095" t="inlineStr">
        <is>
          <t>Saktaphat Kordjan</t>
        </is>
      </c>
      <c r="C1095" s="2">
        <v>45894</v>
      </c>
      <c r="D1095" s="2"/>
      <c r="E1095" t="inlineStr">
        <is>
          <t>ปกติ</t>
        </is>
      </c>
      <c r="F1095" s="3"/>
      <c r="G1095"/>
      <c r="H1095" t="inlineStr">
        <is>
          <t>Website</t>
        </is>
      </c>
      <c r="I1095" t="inlineStr">
        <is>
          <t>งานประจำวัน</t>
        </is>
      </c>
      <c r="J1095" t="inlineStr">
        <is>
          <t>Done</t>
        </is>
      </c>
      <c r="K1095"/>
      <c r="L1095" s="3"/>
      <c r="M1095" t="inlineStr">
        <is>
          <t>1</t>
        </is>
      </c>
      <c r="N1095" t="inlineStr">
        <is>
          <t>Android</t>
        </is>
      </c>
      <c r="O1095"/>
    </row>
    <row r="1096" ht="12.75" customHeight="1">
      <c r="A1096" t="inlineStr">
        <is>
          <t xml:space="preserve">ChatGPT อาจพึ่งพา Google Search ตอบคำถามเรียลไทม์  </t>
        </is>
      </c>
      <c r="B1096" t="inlineStr">
        <is>
          <t>Nattida Suriyodara</t>
        </is>
      </c>
      <c r="C1096" s="2">
        <v>45894</v>
      </c>
      <c r="D1096" s="2"/>
      <c r="E1096" t="inlineStr">
        <is>
          <t>ปกติ</t>
        </is>
      </c>
      <c r="F1096" s="3" t="str">
        <f>=HYPERLINK("https://www.iphonemod.net/chatgpt-use-google-search-for-answering-user-real-time.html", "https://www.iphonemod.net/chatgpt-use-google-search-for-answering-user-real-time.html")</f>
        <v>https://www.iphonemod.net/chatgpt-use-google-search-for-answering-user-real-time.html</v>
      </c>
      <c r="G1096"/>
      <c r="H1096" t="inlineStr">
        <is>
          <t>Pic Posts / Album</t>
        </is>
      </c>
      <c r="I1096" t="inlineStr">
        <is>
          <t>งานประจำวัน</t>
        </is>
      </c>
      <c r="J1096" t="inlineStr">
        <is>
          <t>Done</t>
        </is>
      </c>
      <c r="K1096"/>
      <c r="L1096" s="3"/>
      <c r="M1096" t="inlineStr">
        <is>
          <t>1</t>
        </is>
      </c>
      <c r="N1096" t="inlineStr">
        <is>
          <t>AI</t>
        </is>
      </c>
      <c r="O1096"/>
    </row>
    <row r="1097" ht="12.75" customHeight="1">
      <c r="A1097" t="inlineStr">
        <is>
          <t>Petal Maps ของ Huawei รองรับการนำทางแบบออฟไลน์แล้ว</t>
        </is>
      </c>
      <c r="B1097" t="inlineStr">
        <is>
          <t>Saktaphat Kordjan</t>
        </is>
      </c>
      <c r="C1097" s="2">
        <v>45894</v>
      </c>
      <c r="D1097" s="2"/>
      <c r="E1097" t="inlineStr">
        <is>
          <t>ปกติ</t>
        </is>
      </c>
      <c r="F1097" s="3"/>
      <c r="G1097"/>
      <c r="H1097" t="inlineStr">
        <is>
          <t>Website</t>
        </is>
      </c>
      <c r="I1097" t="inlineStr">
        <is>
          <t>งานประจำวัน</t>
        </is>
      </c>
      <c r="J1097" t="inlineStr">
        <is>
          <t>Done</t>
        </is>
      </c>
      <c r="K1097"/>
      <c r="L1097" s="3"/>
      <c r="M1097" t="inlineStr">
        <is>
          <t>1</t>
        </is>
      </c>
      <c r="N1097" t="inlineStr">
        <is>
          <t>Android</t>
        </is>
      </c>
      <c r="O1097"/>
    </row>
    <row r="1098" ht="12.75" customHeight="1">
      <c r="A1098" t="inlineStr">
        <is>
          <t>คอนโทรลเลอร์เกม MagSafe สไตล์ LG Wing มาแล้ว!</t>
        </is>
      </c>
      <c r="B1098" t="inlineStr">
        <is>
          <t>Saktaphat Kordjan</t>
        </is>
      </c>
      <c r="C1098" s="2">
        <v>45894</v>
      </c>
      <c r="D1098" s="2"/>
      <c r="E1098" t="inlineStr">
        <is>
          <t>ปกติ</t>
        </is>
      </c>
      <c r="F1098" s="3"/>
      <c r="G1098"/>
      <c r="H1098" t="inlineStr">
        <is>
          <t>Website</t>
        </is>
      </c>
      <c r="I1098" t="inlineStr">
        <is>
          <t>งานประจำวัน</t>
        </is>
      </c>
      <c r="J1098" t="inlineStr">
        <is>
          <t>Done</t>
        </is>
      </c>
      <c r="K1098"/>
      <c r="L1098" s="3"/>
      <c r="M1098" t="inlineStr">
        <is>
          <t>1</t>
        </is>
      </c>
      <c r="N1098" t="inlineStr">
        <is>
          <t>Tech</t>
        </is>
      </c>
      <c r="O1098"/>
    </row>
    <row r="1099" ht="12.75" customHeight="1">
      <c r="A1099" t="inlineStr">
        <is>
          <t>อีลอน มัสก์ ได้ปล่อย Grok 2.5 แล้ว</t>
        </is>
      </c>
      <c r="B1099" t="inlineStr">
        <is>
          <t>Nattida Suriyodara</t>
        </is>
      </c>
      <c r="C1099" s="2">
        <v>45894</v>
      </c>
      <c r="D1099" s="2"/>
      <c r="E1099" t="inlineStr">
        <is>
          <t>ปกติ</t>
        </is>
      </c>
      <c r="F1099" s="3" t="str">
        <f>=HYPERLINK("https://techcrunch.com/2025/08/24/elon-musk-says-xai-has-open-sourced-grok-2-5/", "https://techcrunch.com/2025/08/24/elon-musk-says-xai-has-open-sourced-grok-2-5/")</f>
        <v>https://techcrunch.com/2025/08/24/elon-musk-says-xai-has-open-sourced-grok-2-5/</v>
      </c>
      <c r="G1099"/>
      <c r="H1099" t="inlineStr">
        <is>
          <t>Website</t>
        </is>
      </c>
      <c r="I1099" t="inlineStr">
        <is>
          <t>งานประจำวัน</t>
        </is>
      </c>
      <c r="J1099" t="inlineStr">
        <is>
          <t>Done</t>
        </is>
      </c>
      <c r="K1099"/>
      <c r="L1099" s="3"/>
      <c r="M1099" t="inlineStr">
        <is>
          <t>1</t>
        </is>
      </c>
      <c r="N1099" t="inlineStr">
        <is>
          <t>AI</t>
        </is>
      </c>
      <c r="O1099"/>
    </row>
    <row r="1100" ht="12.75" customHeight="1">
      <c r="A1100" t="inlineStr">
        <is>
          <t>Notebook LM ฟีเจอร์ Overview รองรับ 80 ภาษา</t>
        </is>
      </c>
      <c r="B1100" t="inlineStr">
        <is>
          <t>Nattida Suriyodara,Sasithakan Sritonthip</t>
        </is>
      </c>
      <c r="C1100" s="2">
        <v>45894</v>
      </c>
      <c r="D1100" s="2"/>
      <c r="E1100" t="inlineStr">
        <is>
          <t>ปกติ</t>
        </is>
      </c>
      <c r="F1100" s="3"/>
      <c r="G1100"/>
      <c r="H1100" t="inlineStr">
        <is>
          <t>Shorts</t>
        </is>
      </c>
      <c r="I1100" t="inlineStr">
        <is>
          <t>งานประจำวัน</t>
        </is>
      </c>
      <c r="J1100" t="inlineStr">
        <is>
          <t>Done</t>
        </is>
      </c>
      <c r="K1100"/>
      <c r="L1100" s="3"/>
      <c r="M1100" t="inlineStr">
        <is>
          <t>1</t>
        </is>
      </c>
      <c r="N1100" t="inlineStr">
        <is>
          <t>Apple</t>
        </is>
      </c>
      <c r="O1100"/>
    </row>
    <row r="1101" ht="12.75" customHeight="1">
      <c r="A1101" t="inlineStr">
        <is>
          <t>Google เสนอ Gemini สำหรับภาครัฐ</t>
        </is>
      </c>
      <c r="B1101" t="inlineStr">
        <is>
          <t>Nattida Suriyodara</t>
        </is>
      </c>
      <c r="C1101" s="2">
        <v>45891</v>
      </c>
      <c r="D1101" s="2"/>
      <c r="E1101" t="inlineStr">
        <is>
          <t>ปกติ</t>
        </is>
      </c>
      <c r="F1101" s="3" t="str">
        <f>=HYPERLINK("https://www.pymnts.com/artificial-intelligence-2/2025/google-offers-gemini-to-government-workers-for-47-cents/", "https://www.pymnts.com/artificial-intelligence-2/2025/google-offers-gemini-to-government-workers-for-47-cents/")</f>
        <v>https://www.pymnts.com/artificial-intelligence-2/2025/google-offers-gemini-to-government-workers-for-47-cents/</v>
      </c>
      <c r="G1101"/>
      <c r="H1101" t="inlineStr">
        <is>
          <t>Website</t>
        </is>
      </c>
      <c r="I1101" t="inlineStr">
        <is>
          <t>งานประจำวัน</t>
        </is>
      </c>
      <c r="J1101" t="inlineStr">
        <is>
          <t>Done</t>
        </is>
      </c>
      <c r="K1101"/>
      <c r="L1101" s="3"/>
      <c r="M1101" t="inlineStr">
        <is>
          <t>1</t>
        </is>
      </c>
      <c r="N1101" t="inlineStr">
        <is>
          <t>AI</t>
        </is>
      </c>
      <c r="O1101"/>
    </row>
    <row r="1102" ht="12.75" customHeight="1">
      <c r="A1102" t="inlineStr">
        <is>
          <t>ลำโพงอัจฉริยะจาก Google ที่ใช้ Gemini ได้</t>
        </is>
      </c>
      <c r="B1102" t="inlineStr">
        <is>
          <t>Saktaphat Kordjan</t>
        </is>
      </c>
      <c r="C1102" s="2">
        <v>45891</v>
      </c>
      <c r="D1102" s="2"/>
      <c r="E1102" t="inlineStr">
        <is>
          <t>ปกติ</t>
        </is>
      </c>
      <c r="F1102" s="3"/>
      <c r="G1102"/>
      <c r="H1102" t="inlineStr">
        <is>
          <t>Website</t>
        </is>
      </c>
      <c r="I1102" t="inlineStr">
        <is>
          <t>งานประจำวัน</t>
        </is>
      </c>
      <c r="J1102" t="inlineStr">
        <is>
          <t>Done</t>
        </is>
      </c>
      <c r="K1102"/>
      <c r="L1102" s="3"/>
      <c r="M1102" t="inlineStr">
        <is>
          <t>1</t>
        </is>
      </c>
      <c r="N1102" t="inlineStr">
        <is>
          <t>Tech</t>
        </is>
      </c>
      <c r="O1102"/>
    </row>
    <row r="1103" ht="12.75" customHeight="1">
      <c r="A1103" t="inlineStr">
        <is>
          <t>Quicksnap picpost</t>
        </is>
      </c>
      <c r="B1103" t="inlineStr">
        <is>
          <t>Nattida Suriyodara</t>
        </is>
      </c>
      <c r="C1103" s="2">
        <v>45891</v>
      </c>
      <c r="D1103" s="2"/>
      <c r="E1103" t="inlineStr">
        <is>
          <t>ปกติ</t>
        </is>
      </c>
      <c r="F1103" s="3"/>
      <c r="G1103"/>
      <c r="H1103" t="inlineStr">
        <is>
          <t>Pic Posts / Album</t>
        </is>
      </c>
      <c r="I1103" t="inlineStr">
        <is>
          <t>งานประจำวัน</t>
        </is>
      </c>
      <c r="J1103" t="inlineStr">
        <is>
          <t>Done</t>
        </is>
      </c>
      <c r="K1103"/>
      <c r="L1103" s="3"/>
      <c r="M1103" t="inlineStr">
        <is>
          <t>1</t>
        </is>
      </c>
      <c r="N1103" t="inlineStr">
        <is>
          <t>ทั่วไป</t>
        </is>
      </c>
      <c r="O1103"/>
    </row>
    <row r="1104" ht="12.75" customHeight="1">
      <c r="A1104" t="inlineStr">
        <is>
          <t>Google Keep เปิดตัว Material 3 Expressive redesign</t>
        </is>
      </c>
      <c r="B1104" t="inlineStr">
        <is>
          <t>Sasithakan Sritonthip</t>
        </is>
      </c>
      <c r="C1104" s="2">
        <v>45891</v>
      </c>
      <c r="D1104" s="2"/>
      <c r="E1104" t="inlineStr">
        <is>
          <t>ปกติ</t>
        </is>
      </c>
      <c r="F1104" s="3" t="str">
        <f>=HYPERLINK("https://9to5google.com/2025/08/21/google-keep-material-3-expressive-redesign/", "https://9to5google.com/2025/08/21/google-keep-material-3-expressive-redesign/")</f>
        <v>https://9to5google.com/2025/08/21/google-keep-material-3-expressive-redesign/</v>
      </c>
      <c r="G1104"/>
      <c r="H1104" t="inlineStr">
        <is>
          <t>Website</t>
        </is>
      </c>
      <c r="I1104" t="inlineStr">
        <is>
          <t>งานประจำวัน</t>
        </is>
      </c>
      <c r="J1104" t="inlineStr">
        <is>
          <t>Done</t>
        </is>
      </c>
      <c r="K1104"/>
      <c r="L1104" s="3"/>
      <c r="M1104" t="inlineStr">
        <is>
          <t>1</t>
        </is>
      </c>
      <c r="N1104" t="inlineStr">
        <is>
          <t>Tech</t>
        </is>
      </c>
      <c r="O1104"/>
    </row>
    <row r="1105" ht="12.75" customHeight="1">
      <c r="A1105" t="inlineStr">
        <is>
          <t>ภาพหลุด ตัวเครื่อง Samsung Galaxy Tab S11</t>
        </is>
      </c>
      <c r="B1105" t="inlineStr">
        <is>
          <t>Saktaphat Kordjan</t>
        </is>
      </c>
      <c r="C1105" s="2">
        <v>45891</v>
      </c>
      <c r="D1105" s="2"/>
      <c r="E1105" t="inlineStr">
        <is>
          <t>ปกติ</t>
        </is>
      </c>
      <c r="F1105" s="3"/>
      <c r="G1105"/>
      <c r="H1105" t="inlineStr">
        <is>
          <t>Website</t>
        </is>
      </c>
      <c r="I1105" t="inlineStr">
        <is>
          <t>งานประจำวัน</t>
        </is>
      </c>
      <c r="J1105" t="inlineStr">
        <is>
          <t>Done</t>
        </is>
      </c>
      <c r="K1105"/>
      <c r="L1105" s="3"/>
      <c r="M1105" t="inlineStr">
        <is>
          <t>1</t>
        </is>
      </c>
      <c r="N1105" t="inlineStr">
        <is>
          <t>Android</t>
        </is>
      </c>
      <c r="O1105"/>
    </row>
    <row r="1106" ht="12.75" customHeight="1">
      <c r="A1106" t="inlineStr">
        <is>
          <t>แนะนำเกมน่าสนใจ น่าเล่น บน Mac</t>
        </is>
      </c>
      <c r="B1106" t="inlineStr">
        <is>
          <t>Saktaphat Kordjan</t>
        </is>
      </c>
      <c r="C1106" s="2">
        <v>45891</v>
      </c>
      <c r="D1106" s="2"/>
      <c r="E1106" t="inlineStr">
        <is>
          <t>ปกติ</t>
        </is>
      </c>
      <c r="F1106" s="3"/>
      <c r="G1106"/>
      <c r="H1106" t="inlineStr">
        <is>
          <t>Pic Posts / Album, Website</t>
        </is>
      </c>
      <c r="I1106" t="inlineStr">
        <is>
          <t>เสนอไอเดีย</t>
        </is>
      </c>
      <c r="J1106" t="inlineStr">
        <is>
          <t>Done</t>
        </is>
      </c>
      <c r="K1106"/>
      <c r="L1106" s="3"/>
      <c r="M1106" t="inlineStr">
        <is>
          <t>1</t>
        </is>
      </c>
      <c r="N1106" t="inlineStr">
        <is>
          <t>Apple</t>
        </is>
      </c>
      <c r="O1106"/>
    </row>
    <row r="1107" ht="12.75" customHeight="1">
      <c r="A1107" t="inlineStr">
        <is>
          <t>Google เปิดตัวแอป “My Pixel” มาแทนที่แอป Pixel Tips</t>
        </is>
      </c>
      <c r="B1107" t="inlineStr">
        <is>
          <t>Sasithakan Sritonthip</t>
        </is>
      </c>
      <c r="C1107" s="2">
        <v>45891</v>
      </c>
      <c r="D1107" s="2"/>
      <c r="E1107" t="inlineStr">
        <is>
          <t>ปกติ</t>
        </is>
      </c>
      <c r="F1107" s="3" t="str">
        <f>=HYPERLINK("https://9to5google.com/2025/08/21/my-pixel-tips-app/", "https://9to5google.com/2025/08/21/my-pixel-tips-app/")</f>
        <v>https://9to5google.com/2025/08/21/my-pixel-tips-app/</v>
      </c>
      <c r="G1107"/>
      <c r="H1107" t="inlineStr">
        <is>
          <t>Website</t>
        </is>
      </c>
      <c r="I1107" t="inlineStr">
        <is>
          <t>งานประจำวัน</t>
        </is>
      </c>
      <c r="J1107" t="inlineStr">
        <is>
          <t>Done</t>
        </is>
      </c>
      <c r="K1107"/>
      <c r="L1107" s="3"/>
      <c r="M1107" t="inlineStr">
        <is>
          <t>1</t>
        </is>
      </c>
      <c r="N1107" t="inlineStr">
        <is>
          <t>Android</t>
        </is>
      </c>
      <c r="O1107"/>
    </row>
    <row r="1108" ht="12.75" customHeight="1">
      <c r="A1108" t="inlineStr">
        <is>
          <t>ASUS เปิดตัวจอเกมมิ่ง OLED ใหม่! ROG SWIFT OLED PG27AQWP-W</t>
        </is>
      </c>
      <c r="B1108" t="inlineStr">
        <is>
          <t>Saktaphat Kordjan,Sasithakan Sritonthip</t>
        </is>
      </c>
      <c r="C1108" s="2">
        <v>45890</v>
      </c>
      <c r="D1108" s="2"/>
      <c r="E1108" t="inlineStr">
        <is>
          <t>ปกติ</t>
        </is>
      </c>
      <c r="F1108" s="3" t="str">
        <f>=HYPERLINK("https://www.iphonemod.net/prepare-for-tandem-oled-splendor-with-these-new-rog-gaming-monitors.html", "https://www.iphonemod.net/prepare-for-tandem-oled-splendor-with-these-new-rog-gaming-monitors.html")</f>
        <v>https://www.iphonemod.net/prepare-for-tandem-oled-splendor-with-these-new-rog-gaming-monitors.html</v>
      </c>
      <c r="G1108"/>
      <c r="H1108" t="inlineStr">
        <is>
          <t>Website</t>
        </is>
      </c>
      <c r="I1108" t="inlineStr">
        <is>
          <t>งานประจำวัน</t>
        </is>
      </c>
      <c r="J1108" t="inlineStr">
        <is>
          <t>Done</t>
        </is>
      </c>
      <c r="K1108"/>
      <c r="L1108" s="3"/>
      <c r="M1108" t="inlineStr">
        <is>
          <t>1</t>
        </is>
      </c>
      <c r="N1108" t="inlineStr">
        <is>
          <t>Tech</t>
        </is>
      </c>
      <c r="O1108"/>
    </row>
    <row r="1109" ht="12.75" customHeight="1">
      <c r="A1109" t="inlineStr">
        <is>
          <t>Gemini for Home</t>
        </is>
      </c>
      <c r="B1109" t="inlineStr">
        <is>
          <t>Nattida Suriyodara</t>
        </is>
      </c>
      <c r="C1109" s="2">
        <v>45890</v>
      </c>
      <c r="D1109" s="2"/>
      <c r="E1109" t="inlineStr">
        <is>
          <t>ปกติ</t>
        </is>
      </c>
      <c r="F1109" s="3" t="str">
        <f>=HYPERLINK("https://blog.google/products/google-nest/gemini-for-home/", "https://blog.google/products/google-nest/gemini-for-home/")</f>
        <v>https://blog.google/products/google-nest/gemini-for-home/</v>
      </c>
      <c r="G1109"/>
      <c r="H1109" t="inlineStr">
        <is>
          <t>Website</t>
        </is>
      </c>
      <c r="I1109" t="inlineStr">
        <is>
          <t>งานประจำวัน</t>
        </is>
      </c>
      <c r="J1109" t="inlineStr">
        <is>
          <t>Done</t>
        </is>
      </c>
      <c r="K1109"/>
      <c r="L1109" s="3"/>
      <c r="M1109" t="inlineStr">
        <is>
          <t>1</t>
        </is>
      </c>
      <c r="N1109" t="inlineStr">
        <is>
          <t>AI</t>
        </is>
      </c>
      <c r="O1109"/>
    </row>
    <row r="1110" ht="12.75" customHeight="1">
      <c r="A1110" t="inlineStr">
        <is>
          <t>Google ปล่อย MagSafe</t>
        </is>
      </c>
      <c r="B1110" t="inlineStr">
        <is>
          <t>Nattida Suriyodara</t>
        </is>
      </c>
      <c r="C1110" s="2">
        <v>45890</v>
      </c>
      <c r="D1110" s="2"/>
      <c r="E1110" t="inlineStr">
        <is>
          <t>ปกติ</t>
        </is>
      </c>
      <c r="F1110" s="3" t="str">
        <f>=HYPERLINK("https://techcrunch.com/2025/08/20/google-launches-its-own-magsafe-with-pixelsnap/", "https://techcrunch.com/2025/08/20/google-launches-its-own-magsafe-with-pixelsnap/")</f>
        <v>https://techcrunch.com/2025/08/20/google-launches-its-own-magsafe-with-pixelsnap/</v>
      </c>
      <c r="G1110"/>
      <c r="H1110" t="inlineStr">
        <is>
          <t>Website</t>
        </is>
      </c>
      <c r="I1110" t="inlineStr">
        <is>
          <t>งานประจำวัน</t>
        </is>
      </c>
      <c r="J1110" t="inlineStr">
        <is>
          <t>Done</t>
        </is>
      </c>
      <c r="K1110"/>
      <c r="L1110" s="3"/>
      <c r="M1110" t="inlineStr">
        <is>
          <t>1</t>
        </is>
      </c>
      <c r="N1110" t="inlineStr">
        <is>
          <t>Android</t>
        </is>
      </c>
      <c r="O1110"/>
    </row>
    <row r="1111" ht="12.75" customHeight="1">
      <c r="A1111" t="inlineStr">
        <is>
          <t>Google Photos อัปเดตเพิ่มฟังก์ชัน การแก้ไขรูปภาพด้วย AI Chatbot</t>
        </is>
      </c>
      <c r="B1111" t="inlineStr">
        <is>
          <t>Sasithakan Sritonthip</t>
        </is>
      </c>
      <c r="C1111" s="2">
        <v>45890</v>
      </c>
      <c r="D1111" s="2"/>
      <c r="E1111" t="inlineStr">
        <is>
          <t>ปกติ</t>
        </is>
      </c>
      <c r="F1111" s="3" t="str">
        <f>=HYPERLINK("https://www.macrumors.com/2025/08/20/google-photos-gets-conversational-editing/", "https://www.macrumors.com/2025/08/20/google-photos-gets-conversational-editing/")</f>
        <v>https://www.macrumors.com/2025/08/20/google-photos-gets-conversational-editing/</v>
      </c>
      <c r="G1111"/>
      <c r="H1111" t="inlineStr">
        <is>
          <t>Website</t>
        </is>
      </c>
      <c r="I1111" t="inlineStr">
        <is>
          <t>งานประจำวัน</t>
        </is>
      </c>
      <c r="J1111" t="inlineStr">
        <is>
          <t>Done</t>
        </is>
      </c>
      <c r="K1111"/>
      <c r="L1111" s="3"/>
      <c r="M1111" t="inlineStr">
        <is>
          <t>1</t>
        </is>
      </c>
      <c r="N1111" t="inlineStr">
        <is>
          <t>Tech</t>
        </is>
      </c>
      <c r="O1111"/>
    </row>
    <row r="1112" ht="12.75" customHeight="1">
      <c r="A1112" t="inlineStr">
        <is>
          <t>แอป Moises เพิ่ม AI Studio สร้างวงดนตรีได้ด้วย AI</t>
        </is>
      </c>
      <c r="B1112" t="inlineStr">
        <is>
          <t>Sasithakan Sritonthip</t>
        </is>
      </c>
      <c r="C1112" s="2">
        <v>45890</v>
      </c>
      <c r="D1112" s="2"/>
      <c r="E1112" t="inlineStr">
        <is>
          <t>ปกติ</t>
        </is>
      </c>
      <c r="F1112" s="3" t="str">
        <f>=HYPERLINK("https://9to5mac.com/2025/08/20/moises-app-can-now-generate-ai-bandmates-based-on-a-single-instrument-recording/", "https://9to5mac.com/2025/08/20/moises-app-can-now-generate-ai-bandmates-based-on-a-single-instrument-recording/")</f>
        <v>https://9to5mac.com/2025/08/20/moises-app-can-now-generate-ai-bandmates-based-on-a-single-instrument-recording/</v>
      </c>
      <c r="G1112"/>
      <c r="H1112" t="inlineStr">
        <is>
          <t>Website</t>
        </is>
      </c>
      <c r="I1112" t="inlineStr">
        <is>
          <t>งานประจำวัน</t>
        </is>
      </c>
      <c r="J1112" t="inlineStr">
        <is>
          <t>Done</t>
        </is>
      </c>
      <c r="K1112"/>
      <c r="L1112" s="3"/>
      <c r="M1112" t="inlineStr">
        <is>
          <t>1</t>
        </is>
      </c>
      <c r="N1112" t="inlineStr">
        <is>
          <t>Apple</t>
        </is>
      </c>
      <c r="O1112"/>
    </row>
    <row r="1113" ht="12.75" customHeight="1">
      <c r="A1113" t="inlineStr">
        <is>
          <t>Guicksnap ใน IG</t>
        </is>
      </c>
      <c r="B1113" t="inlineStr">
        <is>
          <t>Nattida Suriyodara</t>
        </is>
      </c>
      <c r="C1113" s="2">
        <v>45890</v>
      </c>
      <c r="D1113" s="2"/>
      <c r="E1113" t="inlineStr">
        <is>
          <t>ปกติ</t>
        </is>
      </c>
      <c r="F1113" s="3"/>
      <c r="G1113"/>
      <c r="H1113" t="inlineStr">
        <is>
          <t>Shorts</t>
        </is>
      </c>
      <c r="I1113" t="inlineStr">
        <is>
          <t>งานประจำวัน</t>
        </is>
      </c>
      <c r="J1113" t="inlineStr">
        <is>
          <t>Done</t>
        </is>
      </c>
      <c r="K1113"/>
      <c r="L1113" s="3"/>
      <c r="M1113" t="inlineStr">
        <is>
          <t>1</t>
        </is>
      </c>
      <c r="N1113" t="inlineStr">
        <is>
          <t>ทั่วไป</t>
        </is>
      </c>
      <c r="O1113"/>
    </row>
    <row r="1114" ht="12.75" customHeight="1">
      <c r="A1114" t="inlineStr">
        <is>
          <t>สรุปเปิดตัว Pizel 10 Pro/XL</t>
        </is>
      </c>
      <c r="B1114" t="inlineStr">
        <is>
          <t>Saktaphat Kordjan</t>
        </is>
      </c>
      <c r="C1114" s="2">
        <v>45890</v>
      </c>
      <c r="D1114" s="2"/>
      <c r="E1114" t="inlineStr">
        <is>
          <t>ปกติ</t>
        </is>
      </c>
      <c r="F1114" s="3"/>
      <c r="G1114"/>
      <c r="H1114" t="inlineStr">
        <is>
          <t>Website</t>
        </is>
      </c>
      <c r="I1114" t="inlineStr">
        <is>
          <t>งานประจำวัน</t>
        </is>
      </c>
      <c r="J1114" t="inlineStr">
        <is>
          <t>Done</t>
        </is>
      </c>
      <c r="K1114"/>
      <c r="L1114" s="3"/>
      <c r="M1114" t="inlineStr">
        <is>
          <t>1</t>
        </is>
      </c>
      <c r="N1114" t="inlineStr">
        <is>
          <t>Android</t>
        </is>
      </c>
      <c r="O1114"/>
    </row>
    <row r="1115" ht="12.75" customHeight="1">
      <c r="A1115" t="inlineStr">
        <is>
          <t xml:space="preserve">สรุปสเปค Pixel 10 Pro Fold </t>
        </is>
      </c>
      <c r="B1115" t="inlineStr">
        <is>
          <t>Saktaphat Kordjan</t>
        </is>
      </c>
      <c r="C1115" s="2">
        <v>45890</v>
      </c>
      <c r="D1115" s="2"/>
      <c r="E1115" t="inlineStr">
        <is>
          <t>ปกติ</t>
        </is>
      </c>
      <c r="F1115" s="3"/>
      <c r="G1115"/>
      <c r="H1115" t="inlineStr">
        <is>
          <t>Website</t>
        </is>
      </c>
      <c r="I1115" t="inlineStr">
        <is>
          <t>งานประจำวัน</t>
        </is>
      </c>
      <c r="J1115" t="inlineStr">
        <is>
          <t>Done</t>
        </is>
      </c>
      <c r="K1115"/>
      <c r="L1115" s="3"/>
      <c r="M1115" t="inlineStr">
        <is>
          <t>1</t>
        </is>
      </c>
      <c r="N1115" t="inlineStr">
        <is>
          <t>Android</t>
        </is>
      </c>
      <c r="O1115"/>
    </row>
    <row r="1116" ht="12.75" customHeight="1">
      <c r="A1116" t="inlineStr">
        <is>
          <t>สรุปสเปค Pixel Watch 4 / Buds 2a</t>
        </is>
      </c>
      <c r="B1116" t="inlineStr">
        <is>
          <t>Saktaphat Kordjan</t>
        </is>
      </c>
      <c r="C1116" s="2">
        <v>45890</v>
      </c>
      <c r="D1116" s="2"/>
      <c r="E1116" t="inlineStr">
        <is>
          <t>ปกติ</t>
        </is>
      </c>
      <c r="F1116" s="3"/>
      <c r="G1116"/>
      <c r="H1116" t="inlineStr">
        <is>
          <t>Website</t>
        </is>
      </c>
      <c r="I1116" t="inlineStr">
        <is>
          <t>งานประจำวัน</t>
        </is>
      </c>
      <c r="J1116" t="inlineStr">
        <is>
          <t>Done</t>
        </is>
      </c>
      <c r="K1116"/>
      <c r="L1116" s="3"/>
      <c r="M1116" t="inlineStr">
        <is>
          <t>1</t>
        </is>
      </c>
      <c r="N1116" t="inlineStr">
        <is>
          <t>Android</t>
        </is>
      </c>
      <c r="O1116"/>
    </row>
    <row r="1117" ht="12.75" customHeight="1">
      <c r="A1117" t="inlineStr">
        <is>
          <t xml:space="preserve">สรุปเปิดตัว Pixel 10 และสินค้าอื่น ๆ </t>
        </is>
      </c>
      <c r="B1117" t="inlineStr">
        <is>
          <t>Saktaphat Kordjan</t>
        </is>
      </c>
      <c r="C1117" s="2">
        <v>45890</v>
      </c>
      <c r="D1117" s="2"/>
      <c r="E1117" t="inlineStr">
        <is>
          <t>ปกติ</t>
        </is>
      </c>
      <c r="F1117" s="3"/>
      <c r="G1117"/>
      <c r="H1117" t="inlineStr">
        <is>
          <t>YouTube</t>
        </is>
      </c>
      <c r="I1117" t="inlineStr">
        <is>
          <t>งานประจำวัน</t>
        </is>
      </c>
      <c r="J1117" t="inlineStr">
        <is>
          <t>Done</t>
        </is>
      </c>
      <c r="K1117"/>
      <c r="L1117" s="3"/>
      <c r="M1117" t="inlineStr">
        <is>
          <t>1</t>
        </is>
      </c>
      <c r="N1117" t="inlineStr">
        <is>
          <t>Android</t>
        </is>
      </c>
      <c r="O1117"/>
    </row>
    <row r="1118" ht="12.75" customHeight="1">
      <c r="A1118" t="inlineStr">
        <is>
          <t xml:space="preserve">สรุปข่าวไอทีน่าสนใจ 21/08/2025 </t>
        </is>
      </c>
      <c r="B1118" t="inlineStr">
        <is>
          <t>Saktaphat Kordjan</t>
        </is>
      </c>
      <c r="C1118" s="2">
        <v>45890</v>
      </c>
      <c r="D1118" s="2"/>
      <c r="E1118" t="inlineStr">
        <is>
          <t>ปกติ</t>
        </is>
      </c>
      <c r="F1118" s="3"/>
      <c r="G1118"/>
      <c r="H1118" t="inlineStr">
        <is>
          <t>YouTube</t>
        </is>
      </c>
      <c r="I1118" t="inlineStr">
        <is>
          <t>งานประจำวัน</t>
        </is>
      </c>
      <c r="J1118" t="inlineStr">
        <is>
          <t>Done</t>
        </is>
      </c>
      <c r="K1118"/>
      <c r="L1118" s="3"/>
      <c r="M1118" t="inlineStr">
        <is>
          <t>1</t>
        </is>
      </c>
      <c r="N1118" t="inlineStr">
        <is>
          <t>ทั่วไป, Tech, Android</t>
        </is>
      </c>
      <c r="O1118"/>
    </row>
    <row r="1119" ht="12.75" customHeight="1">
      <c r="A1119" t="inlineStr">
        <is>
          <t>สรุปเปิดตัว Product - Google Pixel (21 ส.ค. 68)</t>
        </is>
      </c>
      <c r="B1119" t="inlineStr">
        <is>
          <t>Saktaphat Kordjan,Sasithakan Sritonthip</t>
        </is>
      </c>
      <c r="C1119" s="2">
        <v>45890</v>
      </c>
      <c r="D1119" s="2"/>
      <c r="E1119" t="inlineStr">
        <is>
          <t>ปกติ</t>
        </is>
      </c>
      <c r="F1119" s="3"/>
      <c r="G1119"/>
      <c r="H1119" t="inlineStr">
        <is>
          <t>Shorts</t>
        </is>
      </c>
      <c r="I1119" t="inlineStr">
        <is>
          <t>งานประจำวัน</t>
        </is>
      </c>
      <c r="J1119" t="inlineStr">
        <is>
          <t>Done</t>
        </is>
      </c>
      <c r="K1119"/>
      <c r="L1119" s="3"/>
      <c r="M1119" t="inlineStr">
        <is>
          <t>1</t>
        </is>
      </c>
      <c r="N1119" t="inlineStr">
        <is>
          <t>Android</t>
        </is>
      </c>
      <c r="O1119"/>
    </row>
    <row r="1120" ht="12.75" customHeight="1">
      <c r="A1120" t="inlineStr">
        <is>
          <t>คลิปสั้น: ผู้ใช้ทั่วไปควรอัปเดต iOS Beta หรือไม่? (จากคลิปยาว)</t>
        </is>
      </c>
      <c r="B1120" t="inlineStr">
        <is>
          <t>Sasithakan Sritonthip</t>
        </is>
      </c>
      <c r="C1120" s="2">
        <v>45889</v>
      </c>
      <c r="D1120" s="2"/>
      <c r="E1120" t="inlineStr">
        <is>
          <t>ปกติ</t>
        </is>
      </c>
      <c r="F1120" s="3" t="str">
        <f>=HYPERLINK("https://www.youtube.com/watch?v=5bk1MaYJlNk", "https://www.youtube.com/watch?v=5bk1MaYJlNk")</f>
        <v>https://www.youtube.com/watch?v=5bk1MaYJlNk</v>
      </c>
      <c r="G1120"/>
      <c r="H1120" t="inlineStr">
        <is>
          <t>Shorts</t>
        </is>
      </c>
      <c r="I1120" t="inlineStr">
        <is>
          <t>งานประจำวัน</t>
        </is>
      </c>
      <c r="J1120" t="inlineStr">
        <is>
          <t>Done</t>
        </is>
      </c>
      <c r="K1120"/>
      <c r="L1120" s="3"/>
      <c r="M1120" t="inlineStr">
        <is>
          <t>1</t>
        </is>
      </c>
      <c r="N1120" t="inlineStr">
        <is>
          <t>Apple</t>
        </is>
      </c>
      <c r="O1120"/>
    </row>
    <row r="1121" ht="12.75" customHeight="1">
      <c r="A1121" t="inlineStr">
        <is>
          <t>Apple Watch จัดกิจกรรม ท้ายทายให้การออกกำลังกาย ของอุทยานแห่งชาติ สหรัฐ ฯ</t>
        </is>
      </c>
      <c r="B1121" t="inlineStr">
        <is>
          <t>Sasithakan Sritonthip</t>
        </is>
      </c>
      <c r="C1121" s="2">
        <v>45889</v>
      </c>
      <c r="D1121" s="2"/>
      <c r="E1121" t="inlineStr">
        <is>
          <t>ปกติ</t>
        </is>
      </c>
      <c r="F1121" s="3" t="str">
        <f>=HYPERLINK("https://www.macrumors.com/2025/08/19/national-parks-activity-challenge-2025/", "https://www.macrumors.com/2025/08/19/national-parks-activity-challenge-2025/")</f>
        <v>https://www.macrumors.com/2025/08/19/national-parks-activity-challenge-2025/</v>
      </c>
      <c r="G1121"/>
      <c r="H1121" t="inlineStr">
        <is>
          <t>Website</t>
        </is>
      </c>
      <c r="I1121" t="inlineStr">
        <is>
          <t>งานประจำวัน</t>
        </is>
      </c>
      <c r="J1121" t="inlineStr">
        <is>
          <t>Done</t>
        </is>
      </c>
      <c r="K1121"/>
      <c r="L1121" s="3"/>
      <c r="M1121" t="inlineStr">
        <is>
          <t>1</t>
        </is>
      </c>
      <c r="N1121" t="inlineStr">
        <is>
          <t>Apple</t>
        </is>
      </c>
      <c r="O1121"/>
    </row>
    <row r="1122" ht="12.75" customHeight="1">
      <c r="A1122" t="inlineStr">
        <is>
          <t>Qualcomm เปิดตัว Snapdragon 7s Gen 4</t>
        </is>
      </c>
      <c r="B1122" t="inlineStr">
        <is>
          <t>Saktaphat Kordjan</t>
        </is>
      </c>
      <c r="C1122" s="2">
        <v>45889</v>
      </c>
      <c r="D1122" s="2"/>
      <c r="E1122" t="inlineStr">
        <is>
          <t>ปกติ</t>
        </is>
      </c>
      <c r="F1122" s="3"/>
      <c r="G1122"/>
      <c r="H1122" t="inlineStr">
        <is>
          <t>Website</t>
        </is>
      </c>
      <c r="I1122" t="inlineStr">
        <is>
          <t>งานประจำวัน</t>
        </is>
      </c>
      <c r="J1122" t="inlineStr">
        <is>
          <t>Done</t>
        </is>
      </c>
      <c r="K1122"/>
      <c r="L1122" s="3"/>
      <c r="M1122" t="inlineStr">
        <is>
          <t>1</t>
        </is>
      </c>
      <c r="N1122" t="inlineStr">
        <is>
          <t>Tech</t>
        </is>
      </c>
      <c r="O1122"/>
    </row>
    <row r="1123" ht="12.75" customHeight="1">
      <c r="A1123" t="inlineStr">
        <is>
          <t>Samsung Gaming Hub สำหรับทีวี Samsung</t>
        </is>
      </c>
      <c r="B1123" t="inlineStr">
        <is>
          <t>Saktaphat Kordjan</t>
        </is>
      </c>
      <c r="C1123" s="2">
        <v>45889</v>
      </c>
      <c r="D1123" s="2"/>
      <c r="E1123" t="inlineStr">
        <is>
          <t>ปกติ</t>
        </is>
      </c>
      <c r="F1123" s="3"/>
      <c r="G1123"/>
      <c r="H1123" t="inlineStr">
        <is>
          <t>Website</t>
        </is>
      </c>
      <c r="I1123" t="inlineStr">
        <is>
          <t>งานประจำวัน</t>
        </is>
      </c>
      <c r="J1123" t="inlineStr">
        <is>
          <t>Done</t>
        </is>
      </c>
      <c r="K1123"/>
      <c r="L1123" s="3"/>
      <c r="M1123" t="inlineStr">
        <is>
          <t>1</t>
        </is>
      </c>
      <c r="N1123" t="inlineStr">
        <is>
          <t>ทั่วไป</t>
        </is>
      </c>
      <c r="O1123"/>
    </row>
    <row r="1124" ht="12.75" customHeight="1">
      <c r="A1124" t="inlineStr">
        <is>
          <t>สรุปเปิดตัว Google Pixel10</t>
        </is>
      </c>
      <c r="B1124" t="inlineStr">
        <is>
          <t>Saktaphat Kordjan</t>
        </is>
      </c>
      <c r="C1124" s="2">
        <v>45889</v>
      </c>
      <c r="D1124" s="2"/>
      <c r="E1124" t="inlineStr">
        <is>
          <t>ปกติ</t>
        </is>
      </c>
      <c r="F1124" s="3"/>
      <c r="G1124"/>
      <c r="H1124" t="inlineStr">
        <is>
          <t>Website</t>
        </is>
      </c>
      <c r="I1124" t="inlineStr">
        <is>
          <t>งานประจำวัน</t>
        </is>
      </c>
      <c r="J1124" t="inlineStr">
        <is>
          <t>Done</t>
        </is>
      </c>
      <c r="K1124"/>
      <c r="L1124" s="3"/>
      <c r="M1124" t="inlineStr">
        <is>
          <t>1</t>
        </is>
      </c>
      <c r="N1124" t="inlineStr">
        <is>
          <t>Android</t>
        </is>
      </c>
      <c r="O1124"/>
    </row>
    <row r="1125" ht="12.75" customHeight="1">
      <c r="A1125" t="inlineStr">
        <is>
          <t>Spotify เพิ่มเครื่องมือมิกซ์เพลงใหม่ "ฟีเจอร์ DJ"</t>
        </is>
      </c>
      <c r="B1125" t="inlineStr">
        <is>
          <t>Sasithakan Sritonthip</t>
        </is>
      </c>
      <c r="C1125" s="2">
        <v>45889</v>
      </c>
      <c r="D1125" s="2"/>
      <c r="E1125" t="inlineStr">
        <is>
          <t>ปกติ</t>
        </is>
      </c>
      <c r="F1125" s="3" t="str">
        <f>=HYPERLINK("https://techcrunch.com/2025/08/19/spotifys-latest-feature-lets-you-add-your-own-transitions-to-playlists/", "https://www.theverge.com/news/761290/spotify-playlist-mix-audio-transition-feature")</f>
        <v>https://www.theverge.com/news/761290/spotify-playlist-mix-audio-transition-feature</v>
      </c>
      <c r="G1125"/>
      <c r="H1125" t="inlineStr">
        <is>
          <t>Website</t>
        </is>
      </c>
      <c r="I1125" t="inlineStr">
        <is>
          <t>งานประจำวัน</t>
        </is>
      </c>
      <c r="J1125" t="inlineStr">
        <is>
          <t>Done</t>
        </is>
      </c>
      <c r="K1125"/>
      <c r="L1125" s="3"/>
      <c r="M1125" t="inlineStr">
        <is>
          <t>1</t>
        </is>
      </c>
      <c r="N1125" t="inlineStr">
        <is>
          <t>Tech</t>
        </is>
      </c>
      <c r="O1125"/>
    </row>
    <row r="1126" ht="12.75" customHeight="1">
      <c r="A1126" t="inlineStr">
        <is>
          <t>ทำชุดภาพ Game Changer</t>
        </is>
      </c>
      <c r="B1126" t="inlineStr">
        <is>
          <t>Nattida Suriyodara</t>
        </is>
      </c>
      <c r="C1126" s="2">
        <v>45889</v>
      </c>
      <c r="D1126" s="2"/>
      <c r="E1126" t="inlineStr">
        <is>
          <t>ด่วน!</t>
        </is>
      </c>
      <c r="F1126" s="3"/>
      <c r="G1126"/>
      <c r="H1126" t="inlineStr">
        <is>
          <t>Pic Posts / Album</t>
        </is>
      </c>
      <c r="I1126" t="inlineStr">
        <is>
          <t>งานลูกค้า, งานประจำวัน</t>
        </is>
      </c>
      <c r="J1126" t="inlineStr">
        <is>
          <t>Done</t>
        </is>
      </c>
      <c r="K1126"/>
      <c r="L1126" s="3"/>
      <c r="M1126" t="inlineStr">
        <is>
          <t>1</t>
        </is>
      </c>
      <c r="N1126" t="inlineStr">
        <is>
          <t>PR, ลูกค้า</t>
        </is>
      </c>
      <c r="O1126"/>
    </row>
    <row r="1127" ht="12.75" customHeight="1">
      <c r="A1127" t="inlineStr">
        <is>
          <t>ASUS เปิดตัวจอเกมมิ่ง OLED ใหม่! ROG SWIFT OLED PG27AQWP-W</t>
        </is>
      </c>
      <c r="B1127" t="inlineStr">
        <is>
          <t>Sasithakan Sritonthip</t>
        </is>
      </c>
      <c r="C1127" s="2">
        <v>45889</v>
      </c>
      <c r="D1127" s="2"/>
      <c r="E1127" t="inlineStr">
        <is>
          <t>ปกติ</t>
        </is>
      </c>
      <c r="F1127" s="3" t="str">
        <f>=HYPERLINK("https://rog.asus.com/articles/gaming-monitors/prepare-for-tandem-oled-splendor-with-these-new-rog-gaming-monitors/-https://rog.asus.com/articles/gaming-monitors/get-an-optimal-display-experience-in-any-game-with-rog-dual-mode-monitors/", "https://rog.asus.com/articles/gaming-monitors/prepare-for-tandem-oled-splendor-with-these-new-rog-gaming-monitors/-https://rog.asus.com/articles/gaming-monitors/get-an-optimal-display-experience-in-any-game-with-rog-dual-mode-monitors/")</f>
        <v>https://rog.asus.com/articles/gaming-monitors/prepare-for-tandem-oled-splendor-with-these-new-rog-gaming-monitors/-https://rog.asus.com/articles/gaming-monitors/get-an-optimal-display-experience-in-any-game-with-rog-dual-mode-monitors/</v>
      </c>
      <c r="G1127"/>
      <c r="H1127" t="inlineStr">
        <is>
          <t>Website</t>
        </is>
      </c>
      <c r="I1127" t="inlineStr">
        <is>
          <t>งานประจำวัน</t>
        </is>
      </c>
      <c r="J1127" t="inlineStr">
        <is>
          <t>Done</t>
        </is>
      </c>
      <c r="K1127"/>
      <c r="L1127" s="3"/>
      <c r="M1127" t="inlineStr">
        <is>
          <t>1</t>
        </is>
      </c>
      <c r="N1127" t="inlineStr">
        <is>
          <t>Tech</t>
        </is>
      </c>
      <c r="O1127"/>
    </row>
    <row r="1128" ht="12.75" customHeight="1">
      <c r="A1128" t="inlineStr">
        <is>
          <t>ลือ! Apple Watch รุ่นใหม่ จะมาพร้อมกับระบบยืนยันตัวตน Touch ID</t>
        </is>
      </c>
      <c r="B1128" t="inlineStr">
        <is>
          <t>Sasithakan Sritonthip</t>
        </is>
      </c>
      <c r="C1128" s="2">
        <v>45889</v>
      </c>
      <c r="D1128" s="2"/>
      <c r="E1128" t="inlineStr">
        <is>
          <t>ปกติ</t>
        </is>
      </c>
      <c r="F1128" s="3" t="str">
        <f>=HYPERLINK("https://www.macrumors.com/2025/08/19/new-apple-watch-with-touch-id-and-more-uncovered/", "https://www.macrumors.com/2025/08/19/new-apple-watch-with-touch-id-and-more-uncovered/")</f>
        <v>https://www.macrumors.com/2025/08/19/new-apple-watch-with-touch-id-and-more-uncovered/</v>
      </c>
      <c r="G1128"/>
      <c r="H1128" t="inlineStr">
        <is>
          <t>Website</t>
        </is>
      </c>
      <c r="I1128" t="inlineStr">
        <is>
          <t>งานประจำวัน</t>
        </is>
      </c>
      <c r="J1128" t="inlineStr">
        <is>
          <t>Done</t>
        </is>
      </c>
      <c r="K1128"/>
      <c r="L1128" s="3"/>
      <c r="M1128" t="inlineStr">
        <is>
          <t>1</t>
        </is>
      </c>
      <c r="N1128" t="inlineStr">
        <is>
          <t>Apple</t>
        </is>
      </c>
      <c r="O1128"/>
    </row>
    <row r="1129" ht="12.75" customHeight="1">
      <c r="A1129" t="inlineStr">
        <is>
          <t>Google AI Studio ถอดเสียงภาษาไทย-ถิ่น</t>
        </is>
      </c>
      <c r="B1129" t="inlineStr">
        <is>
          <t>Nattida Suriyodara</t>
        </is>
      </c>
      <c r="C1129" s="2">
        <v>45888</v>
      </c>
      <c r="D1129" s="2"/>
      <c r="E1129" t="inlineStr">
        <is>
          <t>ปกติ</t>
        </is>
      </c>
      <c r="F1129" s="3" t="str">
        <f>=HYPERLINK("https://aistudio.google.com/prompts/new_chat", "https://aistudio.google.com/prompts/new_chat")</f>
        <v>https://aistudio.google.com/prompts/new_chat</v>
      </c>
      <c r="G1129"/>
      <c r="H1129" t="inlineStr">
        <is>
          <t>Website</t>
        </is>
      </c>
      <c r="I1129" t="inlineStr">
        <is>
          <t>งานประจำวัน</t>
        </is>
      </c>
      <c r="J1129" t="inlineStr">
        <is>
          <t>Done</t>
        </is>
      </c>
      <c r="K1129"/>
      <c r="L1129" s="3"/>
      <c r="M1129" t="inlineStr">
        <is>
          <t>1</t>
        </is>
      </c>
      <c r="N1129" t="inlineStr">
        <is>
          <t>AI</t>
        </is>
      </c>
      <c r="O1129"/>
    </row>
    <row r="1130" ht="12.75" customHeight="1">
      <c r="A1130" t="inlineStr">
        <is>
          <t>พรีวิว iPadOS 26 (Beta)</t>
        </is>
      </c>
      <c r="B1130" t="inlineStr">
        <is>
          <t>Nattida Suriyodara</t>
        </is>
      </c>
      <c r="C1130" s="2">
        <v>45888</v>
      </c>
      <c r="D1130" s="2"/>
      <c r="E1130" t="inlineStr">
        <is>
          <t>ด่วน!</t>
        </is>
      </c>
      <c r="F1130" s="3"/>
      <c r="G1130"/>
      <c r="H1130" t="inlineStr">
        <is>
          <t>YouTube</t>
        </is>
      </c>
      <c r="I1130" t="inlineStr">
        <is>
          <t>งานประจำวัน</t>
        </is>
      </c>
      <c r="J1130" t="inlineStr">
        <is>
          <t>Done</t>
        </is>
      </c>
      <c r="K1130"/>
      <c r="L1130" s="3"/>
      <c r="M1130" t="inlineStr">
        <is>
          <t>1</t>
        </is>
      </c>
      <c r="N1130" t="inlineStr">
        <is>
          <t>Apple</t>
        </is>
      </c>
      <c r="O1130"/>
    </row>
    <row r="1131" ht="12.75" customHeight="1">
      <c r="A1131" t="inlineStr">
        <is>
          <t xml:space="preserve">Gemini อ่านออกเสียง Google Docs ด้วยระบบแปลงข้อความเป็นเสียง </t>
        </is>
      </c>
      <c r="B1131" t="inlineStr">
        <is>
          <t>Nattida Suriyodara</t>
        </is>
      </c>
      <c r="C1131" s="2">
        <v>45888</v>
      </c>
      <c r="D1131" s="2"/>
      <c r="E1131" t="inlineStr">
        <is>
          <t>ปกติ</t>
        </is>
      </c>
      <c r="F1131" s="3" t="str">
        <f>=HYPERLINK("https://9to5google.com/2025/08/18/google-docs-audio-gemini/", "https://9to5google.com/2025/08/18/google-docs-audio-gemini/")</f>
        <v>https://9to5google.com/2025/08/18/google-docs-audio-gemini/</v>
      </c>
      <c r="G1131"/>
      <c r="H1131" t="inlineStr">
        <is>
          <t>Website</t>
        </is>
      </c>
      <c r="I1131" t="inlineStr">
        <is>
          <t>งานประจำวัน</t>
        </is>
      </c>
      <c r="J1131" t="inlineStr">
        <is>
          <t>Done</t>
        </is>
      </c>
      <c r="K1131"/>
      <c r="L1131" s="3"/>
      <c r="M1131" t="inlineStr">
        <is>
          <t>1</t>
        </is>
      </c>
      <c r="N1131" t="inlineStr">
        <is>
          <t>AI</t>
        </is>
      </c>
      <c r="O1131"/>
    </row>
    <row r="1132" ht="12.75" customHeight="1">
      <c r="A1132" t="inlineStr">
        <is>
          <t>เปิดตัว Galaxy Buds3 FE พร้อมสรุปสเปค</t>
        </is>
      </c>
      <c r="B1132" t="inlineStr">
        <is>
          <t>Saktaphat Kordjan</t>
        </is>
      </c>
      <c r="C1132" s="2">
        <v>45888</v>
      </c>
      <c r="D1132" s="2"/>
      <c r="E1132" t="inlineStr">
        <is>
          <t>ปกติ</t>
        </is>
      </c>
      <c r="F1132" s="3"/>
      <c r="G1132"/>
      <c r="H1132" t="inlineStr">
        <is>
          <t>Pic Posts / Album, Website, Shorts</t>
        </is>
      </c>
      <c r="I1132" t="inlineStr">
        <is>
          <t>งานประจำวัน</t>
        </is>
      </c>
      <c r="J1132" t="inlineStr">
        <is>
          <t>Done</t>
        </is>
      </c>
      <c r="K1132"/>
      <c r="L1132" s="3"/>
      <c r="M1132" t="inlineStr">
        <is>
          <t>1</t>
        </is>
      </c>
      <c r="N1132" t="inlineStr">
        <is>
          <t>Android</t>
        </is>
      </c>
      <c r="O1132"/>
    </row>
    <row r="1133" ht="12.75" customHeight="1">
      <c r="A1133" t="inlineStr">
        <is>
          <t>Microsoft กำลังปรับปรุงโหมดมืดของ Windows 11</t>
        </is>
      </c>
      <c r="B1133" t="inlineStr">
        <is>
          <t>Sasithakan Sritonthip</t>
        </is>
      </c>
      <c r="C1133" s="2">
        <v>45888</v>
      </c>
      <c r="D1133" s="2"/>
      <c r="E1133" t="inlineStr">
        <is>
          <t>ปกติ</t>
        </is>
      </c>
      <c r="F1133" s="3" t="str">
        <f>=HYPERLINK("https://www.theverge.com/news/760466/microsoft-windows-11-dark-mode-improvements", "https://www.theverge.com/news/760466/microsoft-windows-11-dark-mode-improvements")</f>
        <v>https://www.theverge.com/news/760466/microsoft-windows-11-dark-mode-improvements</v>
      </c>
      <c r="G1133"/>
      <c r="H1133" t="inlineStr">
        <is>
          <t>Website</t>
        </is>
      </c>
      <c r="I1133" t="inlineStr">
        <is>
          <t>งานประจำวัน</t>
        </is>
      </c>
      <c r="J1133" t="inlineStr">
        <is>
          <t>Done</t>
        </is>
      </c>
      <c r="K1133"/>
      <c r="L1133" s="3"/>
      <c r="M1133" t="inlineStr">
        <is>
          <t>1</t>
        </is>
      </c>
      <c r="N1133" t="inlineStr">
        <is>
          <t>Tech</t>
        </is>
      </c>
      <c r="O1133"/>
    </row>
    <row r="1134" ht="12.75" customHeight="1">
      <c r="A1134" t="inlineStr">
        <is>
          <t>แนวคิด: นวัตกรรมซีเมนต์ชนิดโปร่งแสงเปลี่ยนสีตามอุณหภูมิ</t>
        </is>
      </c>
      <c r="B1134" t="inlineStr">
        <is>
          <t>Sasithakan Sritonthip</t>
        </is>
      </c>
      <c r="C1134" s="2">
        <v>45888</v>
      </c>
      <c r="D1134" s="2"/>
      <c r="E1134" t="inlineStr">
        <is>
          <t>ปกติ</t>
        </is>
      </c>
      <c r="F1134" s="3" t="str">
        <f>=HYPERLINK("https://www.tech2biz.net/content/1172-", "https://www.tech2biz.net/content/1172-ซีเมนต์ชนิดโปร่งแสงเปลี่ยนสีตามอุณหภูมิv")</f>
        <v>https://www.tech2biz.net/content/1172-ซีเมนต์ชนิดโปร่งแสงเปลี่ยนสีตามอุณหภูมิv</v>
      </c>
      <c r="G1134"/>
      <c r="H1134" t="inlineStr">
        <is>
          <t>Website</t>
        </is>
      </c>
      <c r="I1134" t="inlineStr">
        <is>
          <t>งานประจำวัน</t>
        </is>
      </c>
      <c r="J1134" t="inlineStr">
        <is>
          <t>Done</t>
        </is>
      </c>
      <c r="K1134"/>
      <c r="L1134" s="3"/>
      <c r="M1134" t="inlineStr">
        <is>
          <t>1</t>
        </is>
      </c>
      <c r="N1134" t="inlineStr">
        <is>
          <t>Tech</t>
        </is>
      </c>
      <c r="O1134"/>
    </row>
    <row r="1135" ht="12.75" customHeight="1">
      <c r="A1135" t="inlineStr">
        <is>
          <t>Apple เสียผู้เชี่ยวชาญด้าน AI อีกคนให้กับ Superintelligence Labs ของ Meta</t>
        </is>
      </c>
      <c r="B1135" t="inlineStr">
        <is>
          <t>Nattida Suriyodara</t>
        </is>
      </c>
      <c r="C1135" s="2">
        <v>45888</v>
      </c>
      <c r="D1135" s="2"/>
      <c r="E1135" t="inlineStr">
        <is>
          <t>ปกติ</t>
        </is>
      </c>
      <c r="F1135" s="3" t="str">
        <f>=HYPERLINK("https://www.macrumors.com/2025/08/22/apple-loses-another-key-ai-leader-to-meta/", "https://www.macrumors.com/2025/08/22/apple-loses-another-key-ai-leader-to-meta/")</f>
        <v>https://www.macrumors.com/2025/08/22/apple-loses-another-key-ai-leader-to-meta/</v>
      </c>
      <c r="G1135"/>
      <c r="H1135" t="inlineStr">
        <is>
          <t>Website</t>
        </is>
      </c>
      <c r="I1135" t="inlineStr">
        <is>
          <t>งานประจำวัน</t>
        </is>
      </c>
      <c r="J1135" t="inlineStr">
        <is>
          <t>Done</t>
        </is>
      </c>
      <c r="K1135"/>
      <c r="L1135" s="3"/>
      <c r="M1135" t="inlineStr">
        <is>
          <t>1</t>
        </is>
      </c>
      <c r="N1135" t="inlineStr">
        <is>
          <t>AI</t>
        </is>
      </c>
      <c r="O1135"/>
    </row>
    <row r="1136" ht="12.75" customHeight="1">
      <c r="A1136" t="inlineStr">
        <is>
          <t xml:space="preserve">รัฐบาลทรัมป์สนใจถือหุ้น Intel 10% </t>
        </is>
      </c>
      <c r="B1136" t="inlineStr">
        <is>
          <t>Sasithakan Sritonthip</t>
        </is>
      </c>
      <c r="C1136" s="2">
        <v>45888</v>
      </c>
      <c r="D1136" s="2"/>
      <c r="E1136" t="inlineStr">
        <is>
          <t>ปกติ</t>
        </is>
      </c>
      <c r="F1136" s="3" t="str">
        <f>=HYPERLINK("https://9to5mac.com/2025/08/18/trump-administration-eyes-10-stake-in-intel-using-chips-act-funds-stock-slides/", "https://9to5mac.com/2025/08/18/trump-administration-eyes-10-stake-in-intel-using-chips-act-funds-stock-slides/")</f>
        <v>https://9to5mac.com/2025/08/18/trump-administration-eyes-10-stake-in-intel-using-chips-act-funds-stock-slides/</v>
      </c>
      <c r="G1136"/>
      <c r="H1136" t="inlineStr">
        <is>
          <t>Website</t>
        </is>
      </c>
      <c r="I1136" t="inlineStr">
        <is>
          <t>งานประจำวัน</t>
        </is>
      </c>
      <c r="J1136" t="inlineStr">
        <is>
          <t>Done</t>
        </is>
      </c>
      <c r="K1136"/>
      <c r="L1136" s="3"/>
      <c r="M1136" t="inlineStr">
        <is>
          <t>1</t>
        </is>
      </c>
      <c r="N1136" t="inlineStr">
        <is>
          <t>Tech</t>
        </is>
      </c>
      <c r="O1136"/>
    </row>
    <row r="1137" ht="12.75" customHeight="1">
      <c r="A1137" t="inlineStr">
        <is>
          <t>Honor Magic V5 สร้างสถิติยกน้ำหนักมากที่สุดด้วยมือถือจอพับ</t>
        </is>
      </c>
      <c r="B1137" t="inlineStr">
        <is>
          <t>Saktaphat Kordjan</t>
        </is>
      </c>
      <c r="C1137" s="2">
        <v>45888</v>
      </c>
      <c r="D1137" s="2"/>
      <c r="E1137" t="inlineStr">
        <is>
          <t>ปกติ</t>
        </is>
      </c>
      <c r="F1137" s="3"/>
      <c r="G1137"/>
      <c r="H1137" t="inlineStr">
        <is>
          <t>Website</t>
        </is>
      </c>
      <c r="I1137" t="inlineStr">
        <is>
          <t>งานประจำวัน</t>
        </is>
      </c>
      <c r="J1137" t="inlineStr">
        <is>
          <t>Done</t>
        </is>
      </c>
      <c r="K1137"/>
      <c r="L1137" s="3"/>
      <c r="M1137" t="inlineStr">
        <is>
          <t>1</t>
        </is>
      </c>
      <c r="N1137" t="inlineStr">
        <is>
          <t>Android</t>
        </is>
      </c>
      <c r="O1137"/>
    </row>
    <row r="1138" ht="12.75" customHeight="1">
      <c r="A1138" t="inlineStr">
        <is>
          <t>ChatGPT Go แพ็กเกจใหม่ ประหยัดที่สุด ราคา ₹399 / เดือน</t>
        </is>
      </c>
      <c r="B1138" t="inlineStr">
        <is>
          <t>Sasithakan Sritonthip</t>
        </is>
      </c>
      <c r="C1138" s="2">
        <v>45888</v>
      </c>
      <c r="D1138" s="2"/>
      <c r="E1138" t="inlineStr">
        <is>
          <t>ปกติ</t>
        </is>
      </c>
      <c r="F1138" s="3" t="str">
        <f>=HYPERLINK("https://www.cnbc.com/2025/08/19/openai-chases-growth-india-with-cheapest-plan-at-chatgpt-plan-at-399-rupees-global-rollout.html", "https://www.cnbc.com/2025/08/19/openai-chases-growth-india-with-cheapest-plan-at-chatgpt-plan-at-399-rupees-global-rollout.html")</f>
        <v>https://www.cnbc.com/2025/08/19/openai-chases-growth-india-with-cheapest-plan-at-chatgpt-plan-at-399-rupees-global-rollout.html</v>
      </c>
      <c r="G1138"/>
      <c r="H1138" t="inlineStr">
        <is>
          <t>Website</t>
        </is>
      </c>
      <c r="I1138" t="inlineStr">
        <is>
          <t>งานประจำวัน</t>
        </is>
      </c>
      <c r="J1138" t="inlineStr">
        <is>
          <t>Done</t>
        </is>
      </c>
      <c r="K1138"/>
      <c r="L1138" s="3"/>
      <c r="M1138" t="inlineStr">
        <is>
          <t>1</t>
        </is>
      </c>
      <c r="N1138" t="inlineStr">
        <is>
          <t>AI</t>
        </is>
      </c>
      <c r="O1138"/>
    </row>
    <row r="1139" ht="12.75" customHeight="1">
      <c r="A1139" t="inlineStr">
        <is>
          <t>คะแนน Benchmark ของ Pixel 10 Pro XL ที่ทำให้บางคนไม่พอใจ</t>
        </is>
      </c>
      <c r="B1139" t="inlineStr">
        <is>
          <t>Saktaphat Kordjan</t>
        </is>
      </c>
      <c r="C1139" s="2">
        <v>45888</v>
      </c>
      <c r="D1139" s="2"/>
      <c r="E1139" t="inlineStr">
        <is>
          <t>ปกติ</t>
        </is>
      </c>
      <c r="F1139" s="3"/>
      <c r="G1139"/>
      <c r="H1139" t="inlineStr">
        <is>
          <t>Website</t>
        </is>
      </c>
      <c r="I1139" t="inlineStr">
        <is>
          <t>งานประจำวัน</t>
        </is>
      </c>
      <c r="J1139" t="inlineStr">
        <is>
          <t>Done</t>
        </is>
      </c>
      <c r="K1139"/>
      <c r="L1139" s="3"/>
      <c r="M1139" t="inlineStr">
        <is>
          <t>1</t>
        </is>
      </c>
      <c r="N1139" t="inlineStr">
        <is>
          <t>Android</t>
        </is>
      </c>
      <c r="O1139"/>
    </row>
    <row r="1140" ht="12.75" customHeight="1">
      <c r="A1140" t="inlineStr">
        <is>
          <t>แนวคิด: อุปกรณ์แปลงพลังงานกลในชีวิตประจำวันให้เป็นพลังงานไฟฟ้า</t>
        </is>
      </c>
      <c r="B1140" t="inlineStr">
        <is>
          <t>Sasithakan Sritonthip</t>
        </is>
      </c>
      <c r="C1140" s="2">
        <v>45887</v>
      </c>
      <c r="D1140" s="2"/>
      <c r="E1140" t="inlineStr">
        <is>
          <t>ปกติ</t>
        </is>
      </c>
      <c r="F1140" s="3" t="str">
        <f>=HYPERLINK("https://www.tech2biz.net/index.php/content/1574-", "https://www.tech2biz.net/index.php/content/1574-อุปกรณ์แปลงพลังงานกลในชีวิตประจำวันให้เป็นพลังงานไฟฟ้า")</f>
        <v>https://www.tech2biz.net/index.php/content/1574-อุปกรณ์แปลงพลังงานกลในชีวิตประจำวันให้เป็นพลังงานไฟฟ้า</v>
      </c>
      <c r="G1140"/>
      <c r="H1140" t="inlineStr">
        <is>
          <t>Website</t>
        </is>
      </c>
      <c r="I1140" t="inlineStr">
        <is>
          <t>งานประจำวัน</t>
        </is>
      </c>
      <c r="J1140" t="inlineStr">
        <is>
          <t>Done</t>
        </is>
      </c>
      <c r="K1140"/>
      <c r="L1140" s="3"/>
      <c r="M1140" t="inlineStr">
        <is>
          <t>1</t>
        </is>
      </c>
      <c r="N1140" t="inlineStr">
        <is>
          <t>Tech</t>
        </is>
      </c>
      <c r="O1140"/>
    </row>
    <row r="1141" ht="12.75" customHeight="1">
      <c r="A1141" t="inlineStr">
        <is>
          <t>แนวคิด: ระบบถ่ายภาพ Multi-Camera Control for SFX Creator</t>
        </is>
      </c>
      <c r="B1141" t="inlineStr">
        <is>
          <t>Sasithakan Sritonthip</t>
        </is>
      </c>
      <c r="C1141" s="2">
        <v>45887</v>
      </c>
      <c r="D1141" s="2"/>
      <c r="E1141" t="inlineStr">
        <is>
          <t>ปกติ</t>
        </is>
      </c>
      <c r="F1141" s="3" t="str">
        <f>=HYPERLINK("https://www.tech2biz.net/index.php/content/1417-", "https://www.tech2biz.net/index.php/content/1417-ระบบถ่ายภาพ-Multi-Camera-Control-for-SFX-Creator")</f>
        <v>https://www.tech2biz.net/index.php/content/1417-ระบบถ่ายภาพ-Multi-Camera-Control-for-SFX-Creator</v>
      </c>
      <c r="G1141"/>
      <c r="H1141" t="inlineStr">
        <is>
          <t>Website</t>
        </is>
      </c>
      <c r="I1141" t="inlineStr">
        <is>
          <t>งานประจำวัน</t>
        </is>
      </c>
      <c r="J1141" t="inlineStr">
        <is>
          <t>Done</t>
        </is>
      </c>
      <c r="K1141"/>
      <c r="L1141" s="3"/>
      <c r="M1141" t="inlineStr">
        <is>
          <t>1</t>
        </is>
      </c>
      <c r="N1141" t="inlineStr">
        <is>
          <t>Tech</t>
        </is>
      </c>
      <c r="O1141"/>
    </row>
    <row r="1142" ht="12.75" customHeight="1">
      <c r="A1142" t="inlineStr">
        <is>
          <t>iPhone 17 Pro Max ลือว่าจะมีกล้อง Telephoto อัปเกรดครั้งใหญ่
</t>
        </is>
      </c>
      <c r="B1142" t="inlineStr">
        <is>
          <t>Thitirath Kinaret</t>
        </is>
      </c>
      <c r="C1142" s="2">
        <v>45887</v>
      </c>
      <c r="D1142" s="2"/>
      <c r="E1142" t="inlineStr">
        <is>
          <t>ปกติ</t>
        </is>
      </c>
      <c r="F1142" s="3"/>
      <c r="G1142"/>
      <c r="H1142" t="inlineStr">
        <is>
          <t>Pic Posts / Album, Website</t>
        </is>
      </c>
      <c r="I1142" t="inlineStr">
        <is>
          <t>งานประจำวัน</t>
        </is>
      </c>
      <c r="J1142" t="inlineStr">
        <is>
          <t>Done</t>
        </is>
      </c>
      <c r="K1142"/>
      <c r="L1142" s="3"/>
      <c r="M1142" t="inlineStr">
        <is>
          <t>1</t>
        </is>
      </c>
      <c r="N1142" t="inlineStr">
        <is>
          <t>Apple</t>
        </is>
      </c>
      <c r="O1142"/>
    </row>
    <row r="1143" ht="12.75" customHeight="1">
      <c r="A1143" t="inlineStr">
        <is>
          <t>NASA และ Google ทดสอบผู้ช่วยแพทย์ AI ในภารกิจนักบินสำรวจดวงจันทร์และดาวอังคาร</t>
        </is>
      </c>
      <c r="B1143" t="inlineStr">
        <is>
          <t>Sasithakan Sritonthip</t>
        </is>
      </c>
      <c r="C1143" s="2">
        <v>45887</v>
      </c>
      <c r="D1143" s="2"/>
      <c r="E1143" t="inlineStr">
        <is>
          <t>ปกติ</t>
        </is>
      </c>
      <c r="F1143" s="3" t="str">
        <f>=HYPERLINK("https://www.space.com/technology/nasa-and-google-test-ai-medical-assistant-for-astronaut-missions-to-the-moon-and-mars", "https://www.space.com/technology/nasa-and-google-test-ai-medical-assistant-for-astronaut-missions-to-the-moon-and-mars")</f>
        <v>https://www.space.com/technology/nasa-and-google-test-ai-medical-assistant-for-astronaut-missions-to-the-moon-and-mars</v>
      </c>
      <c r="G1143"/>
      <c r="H1143" t="inlineStr">
        <is>
          <t>Website</t>
        </is>
      </c>
      <c r="I1143" t="inlineStr">
        <is>
          <t>งานประจำวัน</t>
        </is>
      </c>
      <c r="J1143" t="inlineStr">
        <is>
          <t>Done</t>
        </is>
      </c>
      <c r="K1143"/>
      <c r="L1143" s="3"/>
      <c r="M1143" t="inlineStr">
        <is>
          <t>1</t>
        </is>
      </c>
      <c r="N1143" t="inlineStr">
        <is>
          <t>Tech</t>
        </is>
      </c>
      <c r="O1143"/>
    </row>
    <row r="1144" ht="12.75" customHeight="1">
      <c r="A1144" t="inlineStr">
        <is>
          <t>HONOR Magic V5</t>
        </is>
      </c>
      <c r="B1144" t="inlineStr">
        <is>
          <t>Thitirath Kinaret,Sasithakan Sritonthip</t>
        </is>
      </c>
      <c r="C1144" s="2">
        <v>45887</v>
      </c>
      <c r="D1144" s="2"/>
      <c r="E1144" t="inlineStr">
        <is>
          <t>ปกติ</t>
        </is>
      </c>
      <c r="F1144" s="3"/>
      <c r="G1144"/>
      <c r="H1144" t="inlineStr">
        <is>
          <t>Shorts</t>
        </is>
      </c>
      <c r="I1144" t="inlineStr">
        <is>
          <t>งานประจำวัน</t>
        </is>
      </c>
      <c r="J1144" t="inlineStr">
        <is>
          <t>Done</t>
        </is>
      </c>
      <c r="K1144"/>
      <c r="L1144" s="3"/>
      <c r="M1144" t="inlineStr">
        <is>
          <t>1</t>
        </is>
      </c>
      <c r="N1144" t="inlineStr">
        <is>
          <t>Android</t>
        </is>
      </c>
      <c r="O1144"/>
    </row>
    <row r="1145" ht="12.75" customHeight="1">
      <c r="A1145" t="inlineStr">
        <is>
          <t>ฟีเจอร์ Project ของ Gemini</t>
        </is>
      </c>
      <c r="B1145" t="inlineStr">
        <is>
          <t>Nattida Suriyodara</t>
        </is>
      </c>
      <c r="C1145" s="2">
        <v>45887</v>
      </c>
      <c r="D1145" s="2"/>
      <c r="E1145" t="inlineStr">
        <is>
          <t>ปกติ</t>
        </is>
      </c>
      <c r="F1145" s="3" t="str">
        <f>=HYPERLINK("https://www.bleepingcomputer.com/news/artificial-intelligence/google-is-adding-projects-feature-to-gemini-to-run-research-tasks/", "https://www.bleepingcomputer.com/news/artificial-intelligence/google-is-adding-projects-feature-to-gemini-to-run-research-tasks/")</f>
        <v>https://www.bleepingcomputer.com/news/artificial-intelligence/google-is-adding-projects-feature-to-gemini-to-run-research-tasks/</v>
      </c>
      <c r="G1145"/>
      <c r="H1145" t="inlineStr">
        <is>
          <t>Website</t>
        </is>
      </c>
      <c r="I1145" t="inlineStr">
        <is>
          <t>งานประจำวัน</t>
        </is>
      </c>
      <c r="J1145" t="inlineStr">
        <is>
          <t>Done</t>
        </is>
      </c>
      <c r="K1145"/>
      <c r="L1145" s="3"/>
      <c r="M1145" t="inlineStr">
        <is>
          <t>1</t>
        </is>
      </c>
      <c r="N1145" t="inlineStr">
        <is>
          <t>AI</t>
        </is>
      </c>
      <c r="O1145"/>
    </row>
    <row r="1146" ht="12.75" customHeight="1">
      <c r="A1146" t="inlineStr">
        <is>
          <t>iMoD Talk: ผู้ใช้ทั่วไปควรอัปเดต iOS/OS  Beta หรือไม่?</t>
        </is>
      </c>
      <c r="B1146" t="inlineStr">
        <is>
          <t>Nattida Suriyodara,Thitirath Kinaret</t>
        </is>
      </c>
      <c r="C1146" s="2">
        <v>45887</v>
      </c>
      <c r="D1146" s="2"/>
      <c r="E1146" t="inlineStr">
        <is>
          <t>ปกติ</t>
        </is>
      </c>
      <c r="F1146" s="3"/>
      <c r="G1146"/>
      <c r="H1146" t="inlineStr">
        <is>
          <t>YouTube</t>
        </is>
      </c>
      <c r="I1146" t="inlineStr">
        <is>
          <t>งานประจำวัน</t>
        </is>
      </c>
      <c r="J1146" t="inlineStr">
        <is>
          <t>Done</t>
        </is>
      </c>
      <c r="K1146"/>
      <c r="L1146" s="3"/>
      <c r="M1146" t="inlineStr">
        <is>
          <t>1</t>
        </is>
      </c>
      <c r="N1146" t="inlineStr">
        <is>
          <t>Apple</t>
        </is>
      </c>
      <c r="O1146"/>
    </row>
    <row r="1147" ht="12.75" customHeight="1">
      <c r="A1147" t="inlineStr">
        <is>
          <t>Doogee S200 Ultra เตรียมเปิดตัว เร็ว ๆ นี้</t>
        </is>
      </c>
      <c r="B1147" t="inlineStr">
        <is>
          <t>Saktaphat Kordjan</t>
        </is>
      </c>
      <c r="C1147" s="2">
        <v>45887</v>
      </c>
      <c r="D1147" s="2"/>
      <c r="E1147" t="inlineStr">
        <is>
          <t>ปกติ</t>
        </is>
      </c>
      <c r="F1147" s="3"/>
      <c r="G1147"/>
      <c r="H1147" t="inlineStr">
        <is>
          <t>Website</t>
        </is>
      </c>
      <c r="I1147" t="inlineStr">
        <is>
          <t>งานประจำวัน</t>
        </is>
      </c>
      <c r="J1147" t="inlineStr">
        <is>
          <t>Done</t>
        </is>
      </c>
      <c r="K1147"/>
      <c r="L1147" s="3"/>
      <c r="M1147" t="inlineStr">
        <is>
          <t>1</t>
        </is>
      </c>
      <c r="N1147" t="inlineStr">
        <is>
          <t>Android</t>
        </is>
      </c>
      <c r="O1147"/>
    </row>
    <row r="1148" ht="12.75" customHeight="1">
      <c r="A1148" t="inlineStr">
        <is>
          <t>ลงทะเบียนซิมแบบใหม่ ต้องยืนยันตัวตนด้วยใบหน้าแบบ Realtime</t>
        </is>
      </c>
      <c r="B1148" t="inlineStr">
        <is>
          <t>Thitirath Kinaret</t>
        </is>
      </c>
      <c r="C1148" s="2">
        <v>45887</v>
      </c>
      <c r="D1148" s="2"/>
      <c r="E1148" t="inlineStr">
        <is>
          <t>ปกติ</t>
        </is>
      </c>
      <c r="F1148" s="3"/>
      <c r="G1148"/>
      <c r="H1148" t="inlineStr">
        <is>
          <t>Pic Posts / Album</t>
        </is>
      </c>
      <c r="I1148" t="inlineStr">
        <is>
          <t>งานประจำวัน</t>
        </is>
      </c>
      <c r="J1148" t="inlineStr">
        <is>
          <t>Done</t>
        </is>
      </c>
      <c r="K1148"/>
      <c r="L1148" s="3"/>
      <c r="M1148" t="inlineStr">
        <is>
          <t>1</t>
        </is>
      </c>
      <c r="N1148" t="inlineStr">
        <is>
          <t>ทั่วไป</t>
        </is>
      </c>
      <c r="O1148"/>
    </row>
    <row r="1149" ht="12.75" customHeight="1">
      <c r="A1149" t="inlineStr">
        <is>
          <t>Liveness Detection ยืนยันตัวตนซิม</t>
        </is>
      </c>
      <c r="B1149" t="inlineStr">
        <is>
          <t>Nattida Suriyodara,Sasithakan Sritonthip</t>
        </is>
      </c>
      <c r="C1149" s="2">
        <v>45887</v>
      </c>
      <c r="D1149" s="2"/>
      <c r="E1149" t="inlineStr">
        <is>
          <t>ด่วน!</t>
        </is>
      </c>
      <c r="F1149" s="3"/>
      <c r="G1149"/>
      <c r="H1149" t="inlineStr">
        <is>
          <t>Shorts</t>
        </is>
      </c>
      <c r="I1149" t="inlineStr">
        <is>
          <t>งานประจำวัน</t>
        </is>
      </c>
      <c r="J1149" t="inlineStr">
        <is>
          <t>Done</t>
        </is>
      </c>
      <c r="K1149"/>
      <c r="L1149" s="3"/>
      <c r="M1149" t="inlineStr">
        <is>
          <t>1</t>
        </is>
      </c>
      <c r="N1149" t="inlineStr">
        <is>
          <t>ทั่วไป, PR</t>
        </is>
      </c>
      <c r="O1149"/>
    </row>
    <row r="1150" ht="12.75" customHeight="1">
      <c r="A1150" t="inlineStr">
        <is>
          <t>วิธีปิดไม่ให้เห็นว่าเราไปกดไลค์โพสต์ไหนบ้างใน IG</t>
        </is>
      </c>
      <c r="B1150" t="inlineStr">
        <is>
          <t>Nattida Suriyodara,Sasithakan Sritonthip</t>
        </is>
      </c>
      <c r="C1150" s="2">
        <v>45887</v>
      </c>
      <c r="D1150" s="2"/>
      <c r="E1150" t="inlineStr">
        <is>
          <t>ปกติ</t>
        </is>
      </c>
      <c r="F1150" s="3"/>
      <c r="G1150"/>
      <c r="H1150" t="inlineStr">
        <is>
          <t>Shorts</t>
        </is>
      </c>
      <c r="I1150" t="inlineStr">
        <is>
          <t>งานประจำวัน</t>
        </is>
      </c>
      <c r="J1150" t="inlineStr">
        <is>
          <t>Done</t>
        </is>
      </c>
      <c r="K1150"/>
      <c r="L1150" s="3"/>
      <c r="M1150" t="inlineStr">
        <is>
          <t>1</t>
        </is>
      </c>
      <c r="N1150" t="inlineStr">
        <is>
          <t>ทั่วไป</t>
        </is>
      </c>
      <c r="O1150"/>
    </row>
    <row r="1151" ht="12.75" customHeight="1">
      <c r="A1151" t="inlineStr">
        <is>
          <t>เผยภาพหลุด ดีไซน์ภายในตัวเครื่อง iPhone 17 Pro Max พร้อมแบตวัสดุโลหะ
</t>
        </is>
      </c>
      <c r="B1151" t="inlineStr">
        <is>
          <t>Thitirath Kinaret</t>
        </is>
      </c>
      <c r="C1151" s="2">
        <v>45887</v>
      </c>
      <c r="D1151" s="2"/>
      <c r="E1151" t="inlineStr">
        <is>
          <t>ปกติ</t>
        </is>
      </c>
      <c r="F1151" s="3"/>
      <c r="G1151"/>
      <c r="H1151" t="inlineStr">
        <is>
          <t>Website</t>
        </is>
      </c>
      <c r="I1151" t="inlineStr">
        <is>
          <t>งานประจำวัน</t>
        </is>
      </c>
      <c r="J1151" t="inlineStr">
        <is>
          <t>Done</t>
        </is>
      </c>
      <c r="K1151"/>
      <c r="L1151" s="3"/>
      <c r="M1151" t="inlineStr">
        <is>
          <t>1</t>
        </is>
      </c>
      <c r="N1151" t="inlineStr">
        <is>
          <t>Apple</t>
        </is>
      </c>
      <c r="O1151"/>
    </row>
    <row r="1152" ht="12.75" customHeight="1">
      <c r="A1152" t="inlineStr">
        <is>
          <t>ChatGPT-5 อัปเดตใหม่</t>
        </is>
      </c>
      <c r="B1152" t="inlineStr">
        <is>
          <t>Nattida Suriyodara</t>
        </is>
      </c>
      <c r="C1152" s="2">
        <v>45887</v>
      </c>
      <c r="D1152" s="2"/>
      <c r="E1152" t="inlineStr">
        <is>
          <t>ปกติ</t>
        </is>
      </c>
      <c r="F1152" s="3"/>
      <c r="G1152"/>
      <c r="H1152" t="inlineStr">
        <is>
          <t>Website</t>
        </is>
      </c>
      <c r="I1152" t="inlineStr">
        <is>
          <t>งานประจำวัน</t>
        </is>
      </c>
      <c r="J1152" t="inlineStr">
        <is>
          <t>Done</t>
        </is>
      </c>
      <c r="K1152"/>
      <c r="L1152" s="3"/>
      <c r="M1152" t="inlineStr">
        <is>
          <t>1</t>
        </is>
      </c>
      <c r="N1152" t="inlineStr">
        <is>
          <t>AI</t>
        </is>
      </c>
      <c r="O1152"/>
    </row>
    <row r="1153" ht="12.75" customHeight="1">
      <c r="A1153" t="inlineStr">
        <is>
          <t>เซ็นเซอร์กล้อง Sony 200MP อาจถูกนำมาใช้กับ OPPO, Samsung</t>
        </is>
      </c>
      <c r="B1153" t="inlineStr">
        <is>
          <t>Saktaphat Kordjan</t>
        </is>
      </c>
      <c r="C1153" s="2">
        <v>45887</v>
      </c>
      <c r="D1153" s="2"/>
      <c r="E1153" t="inlineStr">
        <is>
          <t>ปกติ</t>
        </is>
      </c>
      <c r="F1153" s="3"/>
      <c r="G1153"/>
      <c r="H1153" t="inlineStr">
        <is>
          <t>Website</t>
        </is>
      </c>
      <c r="I1153" t="inlineStr">
        <is>
          <t>งานประจำวัน</t>
        </is>
      </c>
      <c r="J1153" t="inlineStr">
        <is>
          <t>Done</t>
        </is>
      </c>
      <c r="K1153"/>
      <c r="L1153" s="3"/>
      <c r="M1153" t="inlineStr">
        <is>
          <t>1</t>
        </is>
      </c>
      <c r="N1153" t="inlineStr">
        <is>
          <t>Android</t>
        </is>
      </c>
      <c r="O1153"/>
    </row>
    <row r="1154" ht="12.75" customHeight="1">
      <c r="A1154" t="inlineStr">
        <is>
          <t>Apple พัฒนาระบบปฏิบัติ ที่ใช้ภายในบ้านใหม่ทั้งหมด</t>
        </is>
      </c>
      <c r="B1154" t="inlineStr">
        <is>
          <t>Sasithakan Sritonthip</t>
        </is>
      </c>
      <c r="C1154" s="2">
        <v>45887</v>
      </c>
      <c r="D1154" s="2"/>
      <c r="E1154" t="inlineStr">
        <is>
          <t>ปกติ</t>
        </is>
      </c>
      <c r="F1154" s="3" t="str">
        <f>=HYPERLINK("https://www.macrumors.com/2025/08/16/apple-working-on-all-new-operating-system/", "https://www.macrumors.com/2025/08/16/apple-working-on-all-new-operating-system/")</f>
        <v>https://www.macrumors.com/2025/08/16/apple-working-on-all-new-operating-system/</v>
      </c>
      <c r="G1154"/>
      <c r="H1154" t="inlineStr">
        <is>
          <t>Website</t>
        </is>
      </c>
      <c r="I1154" t="inlineStr">
        <is>
          <t>งานประจำวัน</t>
        </is>
      </c>
      <c r="J1154" t="inlineStr">
        <is>
          <t>Done</t>
        </is>
      </c>
      <c r="K1154"/>
      <c r="L1154" s="3"/>
      <c r="M1154" t="inlineStr">
        <is>
          <t>1</t>
        </is>
      </c>
      <c r="N1154" t="inlineStr">
        <is>
          <t>Apple</t>
        </is>
      </c>
      <c r="O1154"/>
    </row>
    <row r="1155" ht="12.75" customHeight="1">
      <c r="A1155" t="inlineStr">
        <is>
          <t>Samsung อาจจะได้ฟีเจอร์ Vivid Photo Profile แต่ก็มีข่าวร้ายอยู่เหมือนกัน</t>
        </is>
      </c>
      <c r="B1155" t="inlineStr">
        <is>
          <t>Saktaphat Kordjan</t>
        </is>
      </c>
      <c r="C1155" s="2">
        <v>45887</v>
      </c>
      <c r="D1155" s="2"/>
      <c r="E1155" t="inlineStr">
        <is>
          <t>ปกติ</t>
        </is>
      </c>
      <c r="F1155" s="3"/>
      <c r="G1155"/>
      <c r="H1155" t="inlineStr">
        <is>
          <t>Website, Shorts</t>
        </is>
      </c>
      <c r="I1155" t="inlineStr">
        <is>
          <t>งานประจำวัน</t>
        </is>
      </c>
      <c r="J1155" t="inlineStr">
        <is>
          <t>Done</t>
        </is>
      </c>
      <c r="K1155"/>
      <c r="L1155" s="3"/>
      <c r="M1155" t="inlineStr">
        <is>
          <t>1</t>
        </is>
      </c>
      <c r="N1155" t="inlineStr">
        <is>
          <t>Android</t>
        </is>
      </c>
      <c r="O1155"/>
    </row>
    <row r="1156" ht="12.75" customHeight="1">
      <c r="A1156" t="inlineStr">
        <is>
          <t>CarPlay ใน iOS 26 เล่นวิดีโอขณะจอดรถได้! แต่ก็ขึ้นอยู่กับแบรนด์รถอีกที</t>
        </is>
      </c>
      <c r="B1156" t="inlineStr">
        <is>
          <t>Thitirath Kinaret</t>
        </is>
      </c>
      <c r="C1156" s="2">
        <v>45885</v>
      </c>
      <c r="D1156" s="2">
        <v>45885</v>
      </c>
      <c r="E1156" t="inlineStr">
        <is>
          <t>ปกติ</t>
        </is>
      </c>
      <c r="F1156" s="3"/>
      <c r="G1156"/>
      <c r="H1156" t="inlineStr">
        <is>
          <t>Website, Pic Posts / Album</t>
        </is>
      </c>
      <c r="I1156" t="inlineStr">
        <is>
          <t>งานประจำวัน</t>
        </is>
      </c>
      <c r="J1156" t="inlineStr">
        <is>
          <t>Done</t>
        </is>
      </c>
      <c r="K1156"/>
      <c r="L1156" s="3"/>
      <c r="M1156" t="inlineStr">
        <is>
          <t>1</t>
        </is>
      </c>
      <c r="N1156" t="inlineStr">
        <is>
          <t>Apple</t>
        </is>
      </c>
      <c r="O1156"/>
    </row>
    <row r="1157" ht="12.75" customHeight="1">
      <c r="A1157" t="inlineStr">
        <is>
          <t>Google เตรียมอัปเดตการสร้างภาพก่อนงาน Pixel วันที่ 20 สิงหาคม</t>
        </is>
      </c>
      <c r="B1157" t="inlineStr">
        <is>
          <t>Nattida Suriyodara</t>
        </is>
      </c>
      <c r="C1157" s="2">
        <v>45884</v>
      </c>
      <c r="D1157" s="2"/>
      <c r="E1157" t="inlineStr">
        <is>
          <t>ปกติ</t>
        </is>
      </c>
      <c r="F1157" s="3"/>
      <c r="G1157"/>
      <c r="H1157" t="inlineStr">
        <is>
          <t>Website</t>
        </is>
      </c>
      <c r="I1157" t="inlineStr">
        <is>
          <t>งานประจำวัน</t>
        </is>
      </c>
      <c r="J1157" t="inlineStr">
        <is>
          <t>Done</t>
        </is>
      </c>
      <c r="K1157"/>
      <c r="L1157" s="3"/>
      <c r="M1157" t="inlineStr">
        <is>
          <t>1</t>
        </is>
      </c>
      <c r="N1157" t="inlineStr">
        <is>
          <t>AI</t>
        </is>
      </c>
      <c r="O1157"/>
    </row>
    <row r="1158" ht="12.75" customHeight="1">
      <c r="A1158" t="inlineStr">
        <is>
          <t>เปิดตัวโดรน Antigravity A1 8K 360</t>
        </is>
      </c>
      <c r="B1158" t="inlineStr">
        <is>
          <t>Sasithakan Sritonthip</t>
        </is>
      </c>
      <c r="C1158" s="2">
        <v>45884</v>
      </c>
      <c r="D1158" s="2"/>
      <c r="E1158" t="inlineStr">
        <is>
          <t>ปกติ</t>
        </is>
      </c>
      <c r="F1158" s="3"/>
      <c r="G1158"/>
      <c r="H1158" t="inlineStr">
        <is>
          <t>Website</t>
        </is>
      </c>
      <c r="I1158" t="inlineStr">
        <is>
          <t>งานประจำวัน</t>
        </is>
      </c>
      <c r="J1158" t="inlineStr">
        <is>
          <t>Done</t>
        </is>
      </c>
      <c r="K1158"/>
      <c r="L1158" s="3"/>
      <c r="M1158" t="inlineStr">
        <is>
          <t>1</t>
        </is>
      </c>
      <c r="N1158" t="inlineStr">
        <is>
          <t>Tech</t>
        </is>
      </c>
      <c r="O1158"/>
    </row>
    <row r="1159" ht="12.75" customHeight="1">
      <c r="A1159" t="inlineStr">
        <is>
          <t>เปิดตัวโดรน Antigravity A1 8K 360</t>
        </is>
      </c>
      <c r="B1159" t="inlineStr">
        <is>
          <t>Sasithakan Sritonthip</t>
        </is>
      </c>
      <c r="C1159" s="2">
        <v>45884</v>
      </c>
      <c r="D1159" s="2"/>
      <c r="E1159" t="inlineStr">
        <is>
          <t>ปกติ</t>
        </is>
      </c>
      <c r="F1159" s="3" t="str">
        <f>=HYPERLINK("https://www.cined.com/antigravity-a1-8k-360-drone-unveiled/", "https://www.cined.com/antigravity-a1-8k-360-drone-unveiled/")</f>
        <v>https://www.cined.com/antigravity-a1-8k-360-drone-unveiled/</v>
      </c>
      <c r="G1159"/>
      <c r="H1159" t="inlineStr">
        <is>
          <t>Website</t>
        </is>
      </c>
      <c r="I1159" t="inlineStr">
        <is>
          <t>งานประจำวัน</t>
        </is>
      </c>
      <c r="J1159" t="inlineStr">
        <is>
          <t>Done</t>
        </is>
      </c>
      <c r="K1159"/>
      <c r="L1159" s="3"/>
      <c r="M1159" t="inlineStr">
        <is>
          <t>1</t>
        </is>
      </c>
      <c r="N1159" t="inlineStr">
        <is>
          <t>Tech</t>
        </is>
      </c>
      <c r="O1159"/>
    </row>
    <row r="1160" ht="12.75" customHeight="1">
      <c r="A1160" t="inlineStr">
        <is>
          <t>เผยวิดีโอทีเซอร์ vivo Vision ก่อนเปิดตัวสัปดาห์หน้า</t>
        </is>
      </c>
      <c r="B1160" t="inlineStr">
        <is>
          <t>Saktaphat Kordjan</t>
        </is>
      </c>
      <c r="C1160" s="2">
        <v>45884</v>
      </c>
      <c r="D1160" s="2"/>
      <c r="E1160" t="inlineStr">
        <is>
          <t>ปกติ</t>
        </is>
      </c>
      <c r="F1160" s="3"/>
      <c r="G1160"/>
      <c r="H1160" t="inlineStr">
        <is>
          <t>Website</t>
        </is>
      </c>
      <c r="I1160" t="inlineStr">
        <is>
          <t>งานประจำวัน</t>
        </is>
      </c>
      <c r="J1160" t="inlineStr">
        <is>
          <t>Done</t>
        </is>
      </c>
      <c r="K1160"/>
      <c r="L1160" s="3"/>
      <c r="M1160" t="inlineStr">
        <is>
          <t>1</t>
        </is>
      </c>
      <c r="N1160" t="inlineStr">
        <is>
          <t>Tech</t>
        </is>
      </c>
      <c r="O1160"/>
    </row>
    <row r="1161" ht="12.75" customHeight="1">
      <c r="A1161" t="inlineStr">
        <is>
          <t>Apple Watch ฟิลเตอร์สี</t>
        </is>
      </c>
      <c r="B1161" t="inlineStr">
        <is>
          <t>Nattida Suriyodara,Sasithakan Sritonthip</t>
        </is>
      </c>
      <c r="C1161" s="2">
        <v>45884</v>
      </c>
      <c r="D1161" s="2"/>
      <c r="E1161" t="inlineStr">
        <is>
          <t>ปกติ</t>
        </is>
      </c>
      <c r="F1161" s="3"/>
      <c r="G1161"/>
      <c r="H1161" t="inlineStr">
        <is>
          <t>Shorts</t>
        </is>
      </c>
      <c r="I1161" t="inlineStr">
        <is>
          <t>งานประจำวัน</t>
        </is>
      </c>
      <c r="J1161" t="inlineStr">
        <is>
          <t>Done</t>
        </is>
      </c>
      <c r="K1161"/>
      <c r="L1161" s="3"/>
      <c r="M1161" t="inlineStr">
        <is>
          <t>1</t>
        </is>
      </c>
      <c r="N1161" t="inlineStr">
        <is>
          <t>Apple</t>
        </is>
      </c>
      <c r="O1161"/>
    </row>
    <row r="1162" ht="12.75" customHeight="1">
      <c r="A1162" t="inlineStr">
        <is>
          <t>Google Pixel 10 Pro Fold จะรองรับการชาร์จไร้สาย Qi2</t>
        </is>
      </c>
      <c r="B1162" t="inlineStr">
        <is>
          <t>Saktaphat Kordjan</t>
        </is>
      </c>
      <c r="C1162" s="2">
        <v>45884</v>
      </c>
      <c r="D1162" s="2"/>
      <c r="E1162" t="inlineStr">
        <is>
          <t>ปกติ</t>
        </is>
      </c>
      <c r="F1162" s="3"/>
      <c r="G1162"/>
      <c r="H1162" t="inlineStr">
        <is>
          <t>Website</t>
        </is>
      </c>
      <c r="I1162" t="inlineStr">
        <is>
          <t>งานประจำวัน</t>
        </is>
      </c>
      <c r="J1162" t="inlineStr">
        <is>
          <t>Done</t>
        </is>
      </c>
      <c r="K1162"/>
      <c r="L1162" s="3"/>
      <c r="M1162" t="inlineStr">
        <is>
          <t>1</t>
        </is>
      </c>
      <c r="N1162" t="inlineStr">
        <is>
          <t>Android</t>
        </is>
      </c>
      <c r="O1162"/>
    </row>
    <row r="1163" ht="12.75" customHeight="1">
      <c r="A1163" t="inlineStr">
        <is>
          <t>HTC เปิดตัว Vive Eagle พร้อมกล้อง 12MP,แปลภาษาด้วย AI</t>
        </is>
      </c>
      <c r="B1163" t="inlineStr">
        <is>
          <t>Saktaphat Kordjan</t>
        </is>
      </c>
      <c r="C1163" s="2">
        <v>45884</v>
      </c>
      <c r="D1163" s="2"/>
      <c r="E1163" t="inlineStr">
        <is>
          <t>ปกติ</t>
        </is>
      </c>
      <c r="F1163" s="3"/>
      <c r="G1163"/>
      <c r="H1163" t="inlineStr">
        <is>
          <t>Website</t>
        </is>
      </c>
      <c r="I1163" t="inlineStr">
        <is>
          <t>งานประจำวัน</t>
        </is>
      </c>
      <c r="J1163" t="inlineStr">
        <is>
          <t>Done</t>
        </is>
      </c>
      <c r="K1163"/>
      <c r="L1163" s="3"/>
      <c r="M1163" t="inlineStr">
        <is>
          <t>1</t>
        </is>
      </c>
      <c r="N1163" t="inlineStr">
        <is>
          <t>Tech</t>
        </is>
      </c>
      <c r="O1163"/>
    </row>
    <row r="1164" ht="12.75" customHeight="1">
      <c r="A1164" t="inlineStr">
        <is>
          <t>“Big sis Billie” Chatbot AI ของ Meta เป็นเหตุให้ชายไทยเสียชีวิต
</t>
        </is>
      </c>
      <c r="B1164" t="inlineStr">
        <is>
          <t>Thitirath Kinaret</t>
        </is>
      </c>
      <c r="C1164" s="2">
        <v>45884</v>
      </c>
      <c r="D1164" s="2">
        <v>45884</v>
      </c>
      <c r="E1164" t="inlineStr">
        <is>
          <t>ปกติ</t>
        </is>
      </c>
      <c r="F1164" s="3"/>
      <c r="G1164"/>
      <c r="H1164" t="inlineStr">
        <is>
          <t>Website, Pic Posts / Album</t>
        </is>
      </c>
      <c r="I1164" t="inlineStr">
        <is>
          <t>งานประจำวัน</t>
        </is>
      </c>
      <c r="J1164" t="inlineStr">
        <is>
          <t>Done</t>
        </is>
      </c>
      <c r="K1164"/>
      <c r="L1164" s="3"/>
      <c r="M1164" t="inlineStr">
        <is>
          <t>1</t>
        </is>
      </c>
      <c r="N1164" t="inlineStr">
        <is>
          <t>AI</t>
        </is>
      </c>
      <c r="O1164"/>
    </row>
    <row r="1165" ht="12.75" customHeight="1">
      <c r="A1165" t="inlineStr">
        <is>
          <t>หลุด! โครงสร้างภายใน iPhone 17 Pro ใช้อะลูมิเนียมล้วน
</t>
        </is>
      </c>
      <c r="B1165" t="inlineStr">
        <is>
          <t>Thitirath Kinaret</t>
        </is>
      </c>
      <c r="C1165" s="2">
        <v>45884</v>
      </c>
      <c r="D1165" s="2">
        <v>45884</v>
      </c>
      <c r="E1165" t="inlineStr">
        <is>
          <t>ปกติ</t>
        </is>
      </c>
      <c r="F1165" s="3"/>
      <c r="G1165"/>
      <c r="H1165" t="inlineStr">
        <is>
          <t>Website, Pic Posts / Album</t>
        </is>
      </c>
      <c r="I1165" t="inlineStr">
        <is>
          <t>งานประจำวัน</t>
        </is>
      </c>
      <c r="J1165" t="inlineStr">
        <is>
          <t>Done</t>
        </is>
      </c>
      <c r="K1165"/>
      <c r="L1165" s="3"/>
      <c r="M1165" t="inlineStr">
        <is>
          <t>1</t>
        </is>
      </c>
      <c r="N1165" t="inlineStr">
        <is>
          <t>Apple</t>
        </is>
      </c>
      <c r="O1165"/>
    </row>
    <row r="1166" ht="12.75" customHeight="1">
      <c r="A1166" t="inlineStr">
        <is>
          <t>พบเบาะแสสินค้าใหม่ Apple เพียบ! | iPhone 17 Pro เสาอากาศใหม่ ใช้ครื่องอะลูมิเนียม?
</t>
        </is>
      </c>
      <c r="B1166" t="inlineStr">
        <is>
          <t>Thitirath Kinaret</t>
        </is>
      </c>
      <c r="C1166" s="2">
        <v>45884</v>
      </c>
      <c r="D1166" s="2">
        <v>45885</v>
      </c>
      <c r="E1166" t="inlineStr">
        <is>
          <t>ปกติ</t>
        </is>
      </c>
      <c r="F1166" s="3"/>
      <c r="G1166"/>
      <c r="H1166" t="inlineStr">
        <is>
          <t>YouTube</t>
        </is>
      </c>
      <c r="I1166" t="inlineStr">
        <is>
          <t>งานประจำวัน</t>
        </is>
      </c>
      <c r="J1166" t="inlineStr">
        <is>
          <t>Done</t>
        </is>
      </c>
      <c r="K1166"/>
      <c r="L1166" s="3"/>
      <c r="M1166" t="inlineStr">
        <is>
          <t>1</t>
        </is>
      </c>
      <c r="N1166" t="inlineStr">
        <is>
          <t>Apple</t>
        </is>
      </c>
      <c r="O1166"/>
    </row>
    <row r="1167" ht="12.75" customHeight="1">
      <c r="A1167" t="inlineStr">
        <is>
          <t>จอ Studio Display 2 อาจมาพร้อมชิป A19 Pro
</t>
        </is>
      </c>
      <c r="B1167" t="inlineStr">
        <is>
          <t>Thitirath Kinaret</t>
        </is>
      </c>
      <c r="C1167" s="2">
        <v>45884</v>
      </c>
      <c r="D1167" s="2">
        <v>45884</v>
      </c>
      <c r="E1167" t="inlineStr">
        <is>
          <t>ปกติ</t>
        </is>
      </c>
      <c r="F1167" s="3"/>
      <c r="G1167"/>
      <c r="H1167" t="inlineStr">
        <is>
          <t>Website</t>
        </is>
      </c>
      <c r="I1167" t="inlineStr">
        <is>
          <t>งานประจำวัน</t>
        </is>
      </c>
      <c r="J1167" t="inlineStr">
        <is>
          <t>Done</t>
        </is>
      </c>
      <c r="K1167"/>
      <c r="L1167" s="3"/>
      <c r="M1167" t="inlineStr">
        <is>
          <t>1</t>
        </is>
      </c>
      <c r="N1167" t="inlineStr">
        <is>
          <t>Apple</t>
        </is>
      </c>
      <c r="O1167"/>
    </row>
    <row r="1168" ht="12.75" customHeight="1">
      <c r="A1168" t="inlineStr">
        <is>
          <t>พบเบาะแส Apple พัฒนา iPad ตัวเริ่มต้นชิป A18
</t>
        </is>
      </c>
      <c r="B1168" t="inlineStr">
        <is>
          <t>Thitirath Kinaret</t>
        </is>
      </c>
      <c r="C1168" s="2">
        <v>45884</v>
      </c>
      <c r="D1168" s="2">
        <v>45884</v>
      </c>
      <c r="E1168" t="inlineStr">
        <is>
          <t>ปกติ</t>
        </is>
      </c>
      <c r="F1168" s="3"/>
      <c r="G1168"/>
      <c r="H1168" t="inlineStr">
        <is>
          <t>Website, Pic Posts / Album</t>
        </is>
      </c>
      <c r="I1168" t="inlineStr">
        <is>
          <t>งานประจำวัน</t>
        </is>
      </c>
      <c r="J1168" t="inlineStr">
        <is>
          <t>Done</t>
        </is>
      </c>
      <c r="K1168"/>
      <c r="L1168" s="3"/>
      <c r="M1168" t="inlineStr">
        <is>
          <t>1</t>
        </is>
      </c>
      <c r="N1168" t="inlineStr">
        <is>
          <t>Apple</t>
        </is>
      </c>
      <c r="O1168"/>
    </row>
    <row r="1169" ht="12.75" customHeight="1">
      <c r="A1169" t="inlineStr">
        <is>
          <t>Apple ปล่อยอัปเดต iOS 18.6.1 นำฟีเจอร์วัดออกซิเจนในเลือดบน Apple Watch กลับมาในสหรัฐฯ
</t>
        </is>
      </c>
      <c r="B1169" t="inlineStr">
        <is>
          <t>Thitirath Kinaret</t>
        </is>
      </c>
      <c r="C1169" s="2">
        <v>45884</v>
      </c>
      <c r="D1169" s="2">
        <v>45884</v>
      </c>
      <c r="E1169" t="inlineStr">
        <is>
          <t>ปกติ</t>
        </is>
      </c>
      <c r="F1169" s="3"/>
      <c r="G1169"/>
      <c r="H1169" t="inlineStr">
        <is>
          <t>Website, Pic Posts / Album</t>
        </is>
      </c>
      <c r="I1169" t="inlineStr">
        <is>
          <t>งานประจำวัน</t>
        </is>
      </c>
      <c r="J1169" t="inlineStr">
        <is>
          <t>Done</t>
        </is>
      </c>
      <c r="K1169"/>
      <c r="L1169" s="3"/>
      <c r="M1169" t="inlineStr">
        <is>
          <t>1</t>
        </is>
      </c>
      <c r="N1169" t="inlineStr">
        <is>
          <t>Apple</t>
        </is>
      </c>
      <c r="O1169"/>
    </row>
    <row r="1170" ht="12.75" customHeight="1">
      <c r="A1170" t="inlineStr">
        <is>
          <t>ลือ iPhone 17 Pro จะใช้เสาอากาศ 5G ดีไซน์ใหม่ แบบรอบโมดูลกล้องหลัง
</t>
        </is>
      </c>
      <c r="B1170" t="inlineStr">
        <is>
          <t>Thitirath Kinaret</t>
        </is>
      </c>
      <c r="C1170" s="2">
        <v>45884</v>
      </c>
      <c r="D1170" s="2">
        <v>45884</v>
      </c>
      <c r="E1170" t="inlineStr">
        <is>
          <t>ปกติ</t>
        </is>
      </c>
      <c r="F1170" s="3"/>
      <c r="G1170"/>
      <c r="H1170" t="inlineStr">
        <is>
          <t>Website, Pic Posts / Album</t>
        </is>
      </c>
      <c r="I1170" t="inlineStr">
        <is>
          <t>งานประจำวัน</t>
        </is>
      </c>
      <c r="J1170" t="inlineStr">
        <is>
          <t>Done</t>
        </is>
      </c>
      <c r="K1170"/>
      <c r="L1170" s="3"/>
      <c r="M1170" t="inlineStr">
        <is>
          <t>1</t>
        </is>
      </c>
      <c r="N1170" t="inlineStr">
        <is>
          <t>Apple</t>
        </is>
      </c>
      <c r="O1170"/>
    </row>
    <row r="1171" ht="12.75" customHeight="1">
      <c r="A1171" t="inlineStr">
        <is>
          <t>พบเบาะแส Apple TV รุ่นใหม่ปี 2025 จะมาพร้อมกับชิป A17 Pro
</t>
        </is>
      </c>
      <c r="B1171" t="inlineStr">
        <is>
          <t>Thitirath Kinaret</t>
        </is>
      </c>
      <c r="C1171" s="2">
        <v>45884</v>
      </c>
      <c r="D1171" s="2">
        <v>45884</v>
      </c>
      <c r="E1171" t="inlineStr">
        <is>
          <t>ปกติ</t>
        </is>
      </c>
      <c r="F1171" s="3"/>
      <c r="G1171"/>
      <c r="H1171" t="inlineStr">
        <is>
          <t>Website, Pic Posts / Album</t>
        </is>
      </c>
      <c r="I1171" t="inlineStr">
        <is>
          <t>งานประจำวัน</t>
        </is>
      </c>
      <c r="J1171" t="inlineStr">
        <is>
          <t>Done</t>
        </is>
      </c>
      <c r="K1171"/>
      <c r="L1171" s="3"/>
      <c r="M1171" t="inlineStr">
        <is>
          <t>1</t>
        </is>
      </c>
      <c r="N1171" t="inlineStr">
        <is>
          <t>Apple</t>
        </is>
      </c>
      <c r="O1171"/>
    </row>
    <row r="1172" ht="12.75" customHeight="1">
      <c r="A1172" t="inlineStr">
        <is>
          <t>HomePod mini รุ่นใหม่ ชิปแรงขึ้น อาจเปิดตัวเร็ว ๆ นี้ (ปลายปี 2025)
</t>
        </is>
      </c>
      <c r="B1172" t="inlineStr">
        <is>
          <t>Thitirath Kinaret</t>
        </is>
      </c>
      <c r="C1172" s="2">
        <v>45884</v>
      </c>
      <c r="D1172" s="2">
        <v>45884</v>
      </c>
      <c r="E1172" t="inlineStr">
        <is>
          <t>ปกติ</t>
        </is>
      </c>
      <c r="F1172" s="3"/>
      <c r="G1172"/>
      <c r="H1172" t="inlineStr">
        <is>
          <t>Website</t>
        </is>
      </c>
      <c r="I1172" t="inlineStr">
        <is>
          <t>งานประจำวัน</t>
        </is>
      </c>
      <c r="J1172" t="inlineStr">
        <is>
          <t>Done</t>
        </is>
      </c>
      <c r="K1172"/>
      <c r="L1172" s="3"/>
      <c r="M1172" t="inlineStr">
        <is>
          <t>1</t>
        </is>
      </c>
      <c r="N1172" t="inlineStr">
        <is>
          <t>Apple</t>
        </is>
      </c>
      <c r="O1172"/>
    </row>
    <row r="1173" ht="12.75" customHeight="1">
      <c r="A1173" t="inlineStr">
        <is>
          <t>Gemini</t>
        </is>
      </c>
      <c r="B1173" t="inlineStr">
        <is>
          <t>Nattida Suriyodara</t>
        </is>
      </c>
      <c r="C1173" s="2">
        <v>45883</v>
      </c>
      <c r="D1173" s="2"/>
      <c r="E1173" t="inlineStr">
        <is>
          <t>ปกติ</t>
        </is>
      </c>
      <c r="F1173" s="3" t="str">
        <f>=HYPERLINK("https://news.google.com/rss/articles/CBMilAFBVV95cUxOZHlLRjNIYmZYdGFsSk9HQk1waXdVRHdOMjBKek9qOWh4RTZvMW5CN0pBa05lcmE4MUxfV2pTSFZpcXEzY0FqWWZFdGNrbDJsTjRRLUhvOXZjWHI5dHNOazNmYTBpWnNJX2RpU3d0UXAyM0owZ3JiNnY5ZE1NUThSX2JWVUF4NlMycmpXVFlfSXVRSEYt?oc=5&amp;hl=en-US&amp;gl=US&amp;ceid=US:en", "https://news.google.com/rss/articles/CBMilAFBVV95cUxOZHlLRjNIYmZYdGFsSk9HQk1waXdVRHdOMjBKek9qOWh4RTZvMW5CN0pBa05lcmE4MUxfV2pTSFZpcXEzY0FqWWZFdGNrbDJsTjRRLUhvOXZjWHI5dHNOazNmYTBpWnNJX2RpU3d0UXAyM0owZ3JiNnY5ZE1NUThSX2JWVUF4NlMycmpXVFlfSXVRSEYt?oc=5&amp;hl=en-US&amp;gl=US&amp;ceid=US:en")</f>
        <v>https://news.google.com/rss/articles/CBMilAFBVV95cUxOZHlLRjNIYmZYdGFsSk9HQk1waXdVRHdOMjBKek9qOWh4RTZvMW5CN0pBa05lcmE4MUxfV2pTSFZpcXEzY0FqWWZFdGNrbDJsTjRRLUhvOXZjWHI5dHNOazNmYTBpWnNJX2RpU3d0UXAyM0owZ3JiNnY5ZE1NUThSX2JWVUF4NlMycmpXVFlfSXVRSEYt?oc=5&amp;hl=en-US&amp;gl=US&amp;ceid=US:en</v>
      </c>
      <c r="G1173"/>
      <c r="H1173" t="inlineStr">
        <is>
          <t>Website</t>
        </is>
      </c>
      <c r="I1173" t="inlineStr">
        <is>
          <t>งานประจำวัน</t>
        </is>
      </c>
      <c r="J1173" t="inlineStr">
        <is>
          <t>Done</t>
        </is>
      </c>
      <c r="K1173"/>
      <c r="L1173" s="3"/>
      <c r="M1173" t="inlineStr">
        <is>
          <t>1</t>
        </is>
      </c>
      <c r="N1173" t="inlineStr">
        <is>
          <t>Apple</t>
        </is>
      </c>
      <c r="O1173"/>
    </row>
    <row r="1174" ht="12.75" customHeight="1">
      <c r="A1174" t="inlineStr">
        <is>
          <t>สรุป 3 ข้อเสนอ จอเส้นเขียว Samsung 11 รุ่น</t>
        </is>
      </c>
      <c r="B1174" t="inlineStr">
        <is>
          <t>Saktaphat Kordjan,Sasithakan Sritonthip</t>
        </is>
      </c>
      <c r="C1174" s="2">
        <v>45883</v>
      </c>
      <c r="D1174" s="2"/>
      <c r="E1174" t="inlineStr">
        <is>
          <t>ด่วน!</t>
        </is>
      </c>
      <c r="F1174" s="3"/>
      <c r="G1174"/>
      <c r="H1174" t="inlineStr">
        <is>
          <t>Shorts</t>
        </is>
      </c>
      <c r="I1174" t="inlineStr">
        <is>
          <t>งานประจำวัน</t>
        </is>
      </c>
      <c r="J1174" t="inlineStr">
        <is>
          <t>Done</t>
        </is>
      </c>
      <c r="K1174"/>
      <c r="L1174" s="3"/>
      <c r="M1174" t="inlineStr">
        <is>
          <t>1</t>
        </is>
      </c>
      <c r="N1174" t="inlineStr">
        <is>
          <t>Android</t>
        </is>
      </c>
      <c r="O1174"/>
    </row>
    <row r="1175" ht="12.75" customHeight="1">
      <c r="A1175" t="inlineStr">
        <is>
          <t>Samsung X สภาองค์กรของผู้บริโภค</t>
        </is>
      </c>
      <c r="B1175" t="inlineStr">
        <is>
          <t>Saktaphat Kordjan,Tom iMoD</t>
        </is>
      </c>
      <c r="C1175" s="2">
        <v>45883</v>
      </c>
      <c r="D1175" s="2"/>
      <c r="E1175" t="inlineStr">
        <is>
          <t>ปกติ</t>
        </is>
      </c>
      <c r="F1175" s="3"/>
      <c r="G1175"/>
      <c r="H1175" t="inlineStr">
        <is>
          <t>YouTube</t>
        </is>
      </c>
      <c r="I1175" t="inlineStr">
        <is>
          <t>เสนอไอเดีย</t>
        </is>
      </c>
      <c r="J1175" t="inlineStr">
        <is>
          <t>Done</t>
        </is>
      </c>
      <c r="K1175"/>
      <c r="L1175" s="3"/>
      <c r="M1175" t="inlineStr">
        <is>
          <t>1</t>
        </is>
      </c>
      <c r="N1175" t="inlineStr">
        <is>
          <t>Android, ทั่วไป</t>
        </is>
      </c>
      <c r="O1175"/>
    </row>
    <row r="1176" ht="12.75" customHeight="1">
      <c r="A1176" t="inlineStr">
        <is>
          <t>Apple กำลังพัฒนา กล้องรักษาความปลอดภัยภายในบ้าน</t>
        </is>
      </c>
      <c r="B1176" t="inlineStr">
        <is>
          <t>Sasithakan Sritonthip</t>
        </is>
      </c>
      <c r="C1176" s="2">
        <v>45883</v>
      </c>
      <c r="D1176" s="2"/>
      <c r="E1176" t="inlineStr">
        <is>
          <t>ปกติ</t>
        </is>
      </c>
      <c r="F1176" s="3"/>
      <c r="G1176"/>
      <c r="H1176" t="inlineStr">
        <is>
          <t>Website</t>
        </is>
      </c>
      <c r="I1176" t="inlineStr">
        <is>
          <t>งานประจำวัน</t>
        </is>
      </c>
      <c r="J1176" t="inlineStr">
        <is>
          <t>Done</t>
        </is>
      </c>
      <c r="K1176"/>
      <c r="L1176" s="3"/>
      <c r="M1176" t="inlineStr">
        <is>
          <t>1</t>
        </is>
      </c>
      <c r="N1176" t="inlineStr">
        <is>
          <t>Apple</t>
        </is>
      </c>
      <c r="O1176"/>
    </row>
    <row r="1177" ht="12.75" customHeight="1">
      <c r="A1177" t="inlineStr">
        <is>
          <t>Samsung ฟ้อง BOE กระทบตลาด OLED ในสหรัฐฯ</t>
        </is>
      </c>
      <c r="B1177" t="inlineStr">
        <is>
          <t>Saktaphat Kordjan</t>
        </is>
      </c>
      <c r="C1177" s="2">
        <v>45883</v>
      </c>
      <c r="D1177" s="2"/>
      <c r="E1177" t="inlineStr">
        <is>
          <t>ปกติ</t>
        </is>
      </c>
      <c r="F1177" s="3"/>
      <c r="G1177"/>
      <c r="H1177" t="inlineStr">
        <is>
          <t>Website</t>
        </is>
      </c>
      <c r="I1177" t="inlineStr">
        <is>
          <t>งานประจำวัน</t>
        </is>
      </c>
      <c r="J1177" t="inlineStr">
        <is>
          <t>Done</t>
        </is>
      </c>
      <c r="K1177"/>
      <c r="L1177" s="3"/>
      <c r="M1177" t="inlineStr">
        <is>
          <t>1</t>
        </is>
      </c>
      <c r="N1177" t="inlineStr">
        <is>
          <t>Tech</t>
        </is>
      </c>
      <c r="O1177"/>
    </row>
    <row r="1178" ht="12.75" customHeight="1">
      <c r="A1178" t="inlineStr">
        <is>
          <t>นวัตกรรม "ฟิล์มเคลือบผลไม้ชนิดบริโภคได้" จากวัสดุธรรมชาติหาง่าย</t>
        </is>
      </c>
      <c r="B1178" t="inlineStr">
        <is>
          <t>Sasithakan Sritonthip</t>
        </is>
      </c>
      <c r="C1178" s="2">
        <v>45883</v>
      </c>
      <c r="D1178" s="2"/>
      <c r="E1178" t="inlineStr">
        <is>
          <t>ปกติ</t>
        </is>
      </c>
      <c r="F1178" s="3" t="str">
        <f>=HYPERLINK("https://www.tech2biz.net/content/1178-", "https://www.tech2biz.net/content/1178-ฟิล์มเคลือบผลไม้ชนิดบริโภคได้")</f>
        <v>https://www.tech2biz.net/content/1178-ฟิล์มเคลือบผลไม้ชนิดบริโภคได้</v>
      </c>
      <c r="G1178"/>
      <c r="H1178" t="inlineStr">
        <is>
          <t>Website</t>
        </is>
      </c>
      <c r="I1178" t="inlineStr">
        <is>
          <t>งานประจำวัน</t>
        </is>
      </c>
      <c r="J1178" t="inlineStr">
        <is>
          <t>Done</t>
        </is>
      </c>
      <c r="K1178"/>
      <c r="L1178" s="3"/>
      <c r="M1178" t="inlineStr">
        <is>
          <t>1</t>
        </is>
      </c>
      <c r="N1178" t="inlineStr">
        <is>
          <t>Tech</t>
        </is>
      </c>
      <c r="O1178"/>
    </row>
    <row r="1179" ht="12.75" customHeight="1">
      <c r="A1179" t="inlineStr">
        <is>
          <t xml:space="preserve">แนวคิด: ระบบเลือกตั้งออนไลน์บนฐานข้อมูล Blockchain
 </t>
        </is>
      </c>
      <c r="B1179" t="inlineStr">
        <is>
          <t>Sasithakan Sritonthip</t>
        </is>
      </c>
      <c r="C1179" s="2">
        <v>45883</v>
      </c>
      <c r="D1179" s="2"/>
      <c r="E1179" t="inlineStr">
        <is>
          <t>ปกติ</t>
        </is>
      </c>
      <c r="F1179" s="3" t="str">
        <f>=HYPERLINK("https://www.tech2biz.net/content/1580-", "https://www.tech2biz.net/content/1580-ระบบเลือกตั้งบนบล็อกเชน-(Blockchain)")</f>
        <v>https://www.tech2biz.net/content/1580-ระบบเลือกตั้งบนบล็อกเชน-(Blockchain)</v>
      </c>
      <c r="G1179"/>
      <c r="H1179" t="inlineStr">
        <is>
          <t>Website</t>
        </is>
      </c>
      <c r="I1179" t="inlineStr">
        <is>
          <t>งานประจำวัน</t>
        </is>
      </c>
      <c r="J1179" t="inlineStr">
        <is>
          <t>Done</t>
        </is>
      </c>
      <c r="K1179"/>
      <c r="L1179" s="3"/>
      <c r="M1179" t="inlineStr">
        <is>
          <t>1</t>
        </is>
      </c>
      <c r="N1179" t="inlineStr">
        <is>
          <t>Tech</t>
        </is>
      </c>
      <c r="O1179"/>
    </row>
    <row r="1180" ht="12.75" customHeight="1">
      <c r="A1180" t="inlineStr">
        <is>
          <t>แนวคิด: โปรแกรมประเมินความชราของร่างกายและอวัยวะ</t>
        </is>
      </c>
      <c r="B1180" t="inlineStr">
        <is>
          <t>Sasithakan Sritonthip</t>
        </is>
      </c>
      <c r="C1180" s="2">
        <v>45883</v>
      </c>
      <c r="D1180" s="2"/>
      <c r="E1180" t="inlineStr">
        <is>
          <t>ปกติ</t>
        </is>
      </c>
      <c r="F1180" s="3" t="str">
        <f>=HYPERLINK("https://www.tech2biz.net/content/7567-", "https://www.tech2biz.net/content/7567-โปรแกรมประเมินความชราของร่างกายและอวัยวะ")</f>
        <v>https://www.tech2biz.net/content/7567-โปรแกรมประเมินความชราของร่างกายและอวัยวะ</v>
      </c>
      <c r="G1180"/>
      <c r="H1180" t="inlineStr">
        <is>
          <t>Website</t>
        </is>
      </c>
      <c r="I1180" t="inlineStr">
        <is>
          <t>งานประจำวัน</t>
        </is>
      </c>
      <c r="J1180" t="inlineStr">
        <is>
          <t>Done</t>
        </is>
      </c>
      <c r="K1180"/>
      <c r="L1180" s="3"/>
      <c r="M1180" t="inlineStr">
        <is>
          <t>1</t>
        </is>
      </c>
      <c r="N1180" t="inlineStr">
        <is>
          <t>Tech</t>
        </is>
      </c>
      <c r="O1180"/>
    </row>
    <row r="1181" ht="12.75" customHeight="1">
      <c r="A1181" t="inlineStr">
        <is>
          <t>iPhone 17 Pro อาจใช้ความจุเริ่มต้น 256GB ขายราคา 1,049 ดอลลาร์
</t>
        </is>
      </c>
      <c r="B1181" t="inlineStr">
        <is>
          <t>Thitirath Kinaret</t>
        </is>
      </c>
      <c r="C1181" s="2">
        <v>45883</v>
      </c>
      <c r="D1181" s="2">
        <v>45883</v>
      </c>
      <c r="E1181" t="inlineStr">
        <is>
          <t>ปกติ</t>
        </is>
      </c>
      <c r="F1181" s="3"/>
      <c r="G1181"/>
      <c r="H1181" t="inlineStr">
        <is>
          <t>Pic Posts / Album, Website</t>
        </is>
      </c>
      <c r="I1181" t="inlineStr">
        <is>
          <t>งานประจำวัน</t>
        </is>
      </c>
      <c r="J1181" t="inlineStr">
        <is>
          <t>Done</t>
        </is>
      </c>
      <c r="K1181"/>
      <c r="L1181" s="3"/>
      <c r="M1181" t="inlineStr">
        <is>
          <t>1</t>
        </is>
      </c>
      <c r="N1181" t="inlineStr">
        <is>
          <t>Apple</t>
        </is>
      </c>
      <c r="O1181"/>
    </row>
    <row r="1182" ht="12.75" customHeight="1">
      <c r="A1182" t="inlineStr">
        <is>
          <t>Google กำลังแก้ไข ที่ Gemini โทษตัวเอง</t>
        </is>
      </c>
      <c r="B1182" t="inlineStr">
        <is>
          <t>Sasithakan Sritonthip</t>
        </is>
      </c>
      <c r="C1182" s="2">
        <v>45882</v>
      </c>
      <c r="D1182" s="2">
        <v>45882</v>
      </c>
      <c r="E1182" t="inlineStr">
        <is>
          <t>ปกติ</t>
        </is>
      </c>
      <c r="F1182" s="3" t="str">
        <f>=HYPERLINK("https://www.theregister.com/2025/08/11/google_fixing_gemini_self_flagellation/", "https://www.theregister.com/2025/08/11/google_fixing_gemini_self_flagellation/")</f>
        <v>https://www.theregister.com/2025/08/11/google_fixing_gemini_self_flagellation/</v>
      </c>
      <c r="G1182"/>
      <c r="H1182" t="inlineStr">
        <is>
          <t>Website</t>
        </is>
      </c>
      <c r="I1182" t="inlineStr">
        <is>
          <t>งานประจำวัน</t>
        </is>
      </c>
      <c r="J1182" t="inlineStr">
        <is>
          <t>Done</t>
        </is>
      </c>
      <c r="K1182"/>
      <c r="L1182" s="3"/>
      <c r="M1182" t="inlineStr">
        <is>
          <t>1</t>
        </is>
      </c>
      <c r="N1182" t="inlineStr">
        <is>
          <t>AI</t>
        </is>
      </c>
      <c r="O1182"/>
    </row>
    <row r="1183" ht="12.75" customHeight="1">
      <c r="A1183" t="inlineStr">
        <is>
          <t>Google ใช้ Gemini คัดการโกงโฆษณาและโกงการเข้าชม</t>
        </is>
      </c>
      <c r="B1183" t="inlineStr">
        <is>
          <t>Nattida Suriyodara</t>
        </is>
      </c>
      <c r="C1183" s="2">
        <v>45882</v>
      </c>
      <c r="D1183" s="2"/>
      <c r="E1183" t="inlineStr">
        <is>
          <t>ปกติ</t>
        </is>
      </c>
      <c r="F1183" s="3" t="str">
        <f>=HYPERLINK("https://www.adweek.com/media/google-has-been-quietly-using-gemini-ai-to-weed-out-ad-fraud-and-invalid-traffic/", "https://www.adweek.com/media/google-has-been-quietly-using-gemini-ai-to-weed-out-ad-fraud-and-invalid-traffic/")</f>
        <v>https://www.adweek.com/media/google-has-been-quietly-using-gemini-ai-to-weed-out-ad-fraud-and-invalid-traffic/</v>
      </c>
      <c r="G1183"/>
      <c r="H1183" t="inlineStr">
        <is>
          <t>Website</t>
        </is>
      </c>
      <c r="I1183" t="inlineStr">
        <is>
          <t>งานประจำวัน, เสนอไอเดีย</t>
        </is>
      </c>
      <c r="J1183" t="inlineStr">
        <is>
          <t>Done</t>
        </is>
      </c>
      <c r="K1183"/>
      <c r="L1183" s="3"/>
      <c r="M1183" t="inlineStr">
        <is>
          <t>1</t>
        </is>
      </c>
      <c r="N1183" t="inlineStr">
        <is>
          <t>AI</t>
        </is>
      </c>
      <c r="O1183"/>
    </row>
    <row r="1184" ht="12.75" customHeight="1">
      <c r="A1184" t="inlineStr">
        <is>
          <t>รวมไฮไลต์ ChatGPT-5</t>
        </is>
      </c>
      <c r="B1184" t="inlineStr">
        <is>
          <t>Nattida Suriyodara</t>
        </is>
      </c>
      <c r="C1184" s="2">
        <v>45882</v>
      </c>
      <c r="D1184" s="2"/>
      <c r="E1184" t="inlineStr">
        <is>
          <t>ปกติ</t>
        </is>
      </c>
      <c r="F1184" s="3"/>
      <c r="G1184"/>
      <c r="H1184" t="inlineStr">
        <is>
          <t>YouTube</t>
        </is>
      </c>
      <c r="I1184" t="inlineStr">
        <is>
          <t>งานประจำวัน</t>
        </is>
      </c>
      <c r="J1184" t="inlineStr">
        <is>
          <t>Done</t>
        </is>
      </c>
      <c r="K1184"/>
      <c r="L1184" s="3"/>
      <c r="M1184" t="inlineStr">
        <is>
          <t>1</t>
        </is>
      </c>
      <c r="N1184" t="inlineStr">
        <is>
          <t>AI</t>
        </is>
      </c>
      <c r="O1184"/>
    </row>
    <row r="1185" ht="12.75" customHeight="1">
      <c r="A1185" t="inlineStr">
        <is>
          <t>Apple โต้ข้อกล่าวหาของ Elon Musk เรื่องการให้ความสำคัญกับ ChatGPT บน App Store
</t>
        </is>
      </c>
      <c r="B1185" t="inlineStr">
        <is>
          <t>Thitirath Kinaret</t>
        </is>
      </c>
      <c r="C1185" s="2">
        <v>45882</v>
      </c>
      <c r="D1185" s="2"/>
      <c r="E1185" t="inlineStr">
        <is>
          <t>ปกติ</t>
        </is>
      </c>
      <c r="F1185" s="3"/>
      <c r="G1185"/>
      <c r="H1185" t="inlineStr">
        <is>
          <t>Pic Posts / Album, Website</t>
        </is>
      </c>
      <c r="I1185" t="inlineStr">
        <is>
          <t>งานประจำวัน</t>
        </is>
      </c>
      <c r="J1185" t="inlineStr">
        <is>
          <t>Done</t>
        </is>
      </c>
      <c r="K1185"/>
      <c r="L1185" s="3"/>
      <c r="M1185" t="inlineStr">
        <is>
          <t>1</t>
        </is>
      </c>
      <c r="N1185" t="inlineStr">
        <is>
          <t>Apple</t>
        </is>
      </c>
      <c r="O1185"/>
    </row>
    <row r="1186" ht="12.75" customHeight="1">
      <c r="A1186" t="inlineStr">
        <is>
          <t>วิธีตั้งค่ากลับไปใช้งาน GPT-4o ใน ChatGPT</t>
        </is>
      </c>
      <c r="B1186" t="inlineStr">
        <is>
          <t>Sasithakan Sritonthip</t>
        </is>
      </c>
      <c r="C1186" s="2">
        <v>45882</v>
      </c>
      <c r="D1186" s="2"/>
      <c r="E1186" t="inlineStr">
        <is>
          <t>ปกติ</t>
        </is>
      </c>
      <c r="F1186" s="3" t="str">
        <f>=HYPERLINK("https://www.macrumors.com/how-to/how-to-re-enable-gpt-4o-model-in-chatgpt-for-mac/", "https://www.macrumors.com/how-to/how-to-re-enable-gpt-4o-model-in-chatgpt-for-mac/")</f>
        <v>https://www.macrumors.com/how-to/how-to-re-enable-gpt-4o-model-in-chatgpt-for-mac/</v>
      </c>
      <c r="G1186"/>
      <c r="H1186" t="inlineStr">
        <is>
          <t>Website</t>
        </is>
      </c>
      <c r="I1186" t="inlineStr">
        <is>
          <t>งานประจำวัน</t>
        </is>
      </c>
      <c r="J1186" t="inlineStr">
        <is>
          <t>Done</t>
        </is>
      </c>
      <c r="K1186"/>
      <c r="L1186" s="3"/>
      <c r="M1186" t="inlineStr">
        <is>
          <t>1</t>
        </is>
      </c>
      <c r="N1186" t="inlineStr">
        <is>
          <t>AI</t>
        </is>
      </c>
      <c r="O1186"/>
    </row>
    <row r="1187" ht="12.75" customHeight="1">
      <c r="A1187" t="inlineStr">
        <is>
          <t>วิธีตั้งค่าน้ำเสียงการตอบ ChatGPT-5</t>
        </is>
      </c>
      <c r="B1187" t="inlineStr">
        <is>
          <t>Nattida Suriyodara</t>
        </is>
      </c>
      <c r="C1187" s="2">
        <v>45882</v>
      </c>
      <c r="D1187" s="2"/>
      <c r="E1187" t="inlineStr">
        <is>
          <t>ปกติ</t>
        </is>
      </c>
      <c r="F1187" s="3"/>
      <c r="G1187"/>
      <c r="H1187" t="inlineStr">
        <is>
          <t>Website</t>
        </is>
      </c>
      <c r="I1187" t="inlineStr">
        <is>
          <t>งานประจำวัน</t>
        </is>
      </c>
      <c r="J1187" t="inlineStr">
        <is>
          <t>Done</t>
        </is>
      </c>
      <c r="K1187"/>
      <c r="L1187" s="3"/>
      <c r="M1187" t="inlineStr">
        <is>
          <t>1</t>
        </is>
      </c>
      <c r="N1187" t="inlineStr">
        <is>
          <t>AI</t>
        </is>
      </c>
      <c r="O1187"/>
    </row>
    <row r="1188" ht="12.75" customHeight="1">
      <c r="A1188" t="inlineStr">
        <is>
          <t>วิธีตั้งค่าเปิดใช้โมเดลรุ่นเก่าChatGP</t>
        </is>
      </c>
      <c r="B1188" t="inlineStr">
        <is>
          <t>Nattida Suriyodara,Sasithakan Sritonthip</t>
        </is>
      </c>
      <c r="C1188" s="2">
        <v>45882</v>
      </c>
      <c r="D1188" s="2"/>
      <c r="E1188" t="inlineStr">
        <is>
          <t>ปกติ</t>
        </is>
      </c>
      <c r="F1188" s="3"/>
      <c r="G1188"/>
      <c r="H1188" t="inlineStr">
        <is>
          <t>Shorts</t>
        </is>
      </c>
      <c r="I1188" t="inlineStr">
        <is>
          <t>งานประจำวัน</t>
        </is>
      </c>
      <c r="J1188" t="inlineStr">
        <is>
          <t>Done</t>
        </is>
      </c>
      <c r="K1188"/>
      <c r="L1188" s="3"/>
      <c r="M1188" t="inlineStr">
        <is>
          <t>1</t>
        </is>
      </c>
      <c r="N1188" t="inlineStr">
        <is>
          <t>AI</t>
        </is>
      </c>
      <c r="O1188"/>
    </row>
    <row r="1189" ht="12.75" customHeight="1">
      <c r="A1189" t="inlineStr">
        <is>
          <t>ปฏิทินเปิดตัวสมาร์ตโฟน</t>
        </is>
      </c>
      <c r="B1189" t="inlineStr">
        <is>
          <t>Saktaphat Kordjan</t>
        </is>
      </c>
      <c r="C1189" s="2">
        <v>45882</v>
      </c>
      <c r="D1189" s="2"/>
      <c r="E1189" t="inlineStr">
        <is>
          <t>ปกติ</t>
        </is>
      </c>
      <c r="F1189" s="3"/>
      <c r="G1189"/>
      <c r="H1189" t="inlineStr">
        <is>
          <t>Pic Posts / Album, YouTube</t>
        </is>
      </c>
      <c r="I1189" t="inlineStr">
        <is>
          <t>เสนอไอเดีย</t>
        </is>
      </c>
      <c r="J1189" t="inlineStr">
        <is>
          <t>Done</t>
        </is>
      </c>
      <c r="K1189"/>
      <c r="L1189" s="3"/>
      <c r="M1189" t="inlineStr">
        <is>
          <t>1</t>
        </is>
      </c>
      <c r="N1189" t="inlineStr">
        <is>
          <t>Android, Apple</t>
        </is>
      </c>
      <c r="O1189"/>
    </row>
    <row r="1190" ht="12.75" customHeight="1">
      <c r="A1190" t="inlineStr">
        <is>
          <t>MediaTek เปิดตัว Dimensity 9500 ก่อน Snapdragon 8 Elite หนึ่งวัน</t>
        </is>
      </c>
      <c r="B1190" t="inlineStr">
        <is>
          <t>Saktaphat Kordjan</t>
        </is>
      </c>
      <c r="C1190" s="2">
        <v>45882</v>
      </c>
      <c r="D1190" s="2"/>
      <c r="E1190" t="inlineStr">
        <is>
          <t>ปกติ</t>
        </is>
      </c>
      <c r="F1190" s="3"/>
      <c r="G1190"/>
      <c r="H1190" t="inlineStr">
        <is>
          <t>Website</t>
        </is>
      </c>
      <c r="I1190" t="inlineStr">
        <is>
          <t>งานประจำวัน</t>
        </is>
      </c>
      <c r="J1190" t="inlineStr">
        <is>
          <t>Done</t>
        </is>
      </c>
      <c r="K1190"/>
      <c r="L1190" s="3"/>
      <c r="M1190" t="inlineStr">
        <is>
          <t>1</t>
        </is>
      </c>
      <c r="N1190" t="inlineStr">
        <is>
          <t>Tech</t>
        </is>
      </c>
      <c r="O1190"/>
    </row>
    <row r="1191" ht="12.75" customHeight="1">
      <c r="A1191" t="inlineStr">
        <is>
          <t>ทำความรู้จักอาการหลอน AI (Hallucination)</t>
        </is>
      </c>
      <c r="B1191" t="inlineStr">
        <is>
          <t>Nattida Suriyodara,Sasithakan Sritonthip</t>
        </is>
      </c>
      <c r="C1191" s="2">
        <v>45882</v>
      </c>
      <c r="D1191" s="2"/>
      <c r="E1191" t="inlineStr">
        <is>
          <t>ปกติ</t>
        </is>
      </c>
      <c r="F1191" s="3"/>
      <c r="G1191"/>
      <c r="H1191" t="inlineStr">
        <is>
          <t>Shorts</t>
        </is>
      </c>
      <c r="I1191" t="inlineStr">
        <is>
          <t>งานประจำวัน</t>
        </is>
      </c>
      <c r="J1191" t="inlineStr">
        <is>
          <t>Done</t>
        </is>
      </c>
      <c r="K1191"/>
      <c r="L1191" s="3"/>
      <c r="M1191" t="inlineStr">
        <is>
          <t>1</t>
        </is>
      </c>
      <c r="N1191" t="inlineStr">
        <is>
          <t>AI</t>
        </is>
      </c>
      <c r="O1191"/>
    </row>
    <row r="1192" ht="12.75" customHeight="1">
      <c r="A1192" t="inlineStr">
        <is>
          <t>Samsung ได้รับการอนุมัติให้ใช้ชิป HBM3E 12 ชั้นจาก Nvidia แล้ว</t>
        </is>
      </c>
      <c r="B1192" t="inlineStr">
        <is>
          <t>Saktaphat Kordjan</t>
        </is>
      </c>
      <c r="C1192" s="2">
        <v>45882</v>
      </c>
      <c r="D1192" s="2"/>
      <c r="E1192" t="inlineStr">
        <is>
          <t>ปกติ</t>
        </is>
      </c>
      <c r="F1192" s="3"/>
      <c r="G1192"/>
      <c r="H1192" t="inlineStr">
        <is>
          <t>Website</t>
        </is>
      </c>
      <c r="I1192" t="inlineStr">
        <is>
          <t>งานประจำวัน</t>
        </is>
      </c>
      <c r="J1192" t="inlineStr">
        <is>
          <t>Done</t>
        </is>
      </c>
      <c r="K1192"/>
      <c r="L1192" s="3"/>
      <c r="M1192" t="inlineStr">
        <is>
          <t>1</t>
        </is>
      </c>
      <c r="N1192" t="inlineStr">
        <is>
          <t>Tech</t>
        </is>
      </c>
      <c r="O1192"/>
    </row>
    <row r="1193" ht="12.75" customHeight="1">
      <c r="A1193" t="inlineStr">
        <is>
          <t>Apple เลือกใช้เทคโนโลยี WMCM ในชิป A20 ของ iPhone 18</t>
        </is>
      </c>
      <c r="B1193" t="inlineStr">
        <is>
          <t>Sasithakan Sritonthip</t>
        </is>
      </c>
      <c r="C1193" s="2">
        <v>45882</v>
      </c>
      <c r="D1193" s="2"/>
      <c r="E1193" t="inlineStr">
        <is>
          <t>ปกติ</t>
        </is>
      </c>
      <c r="F1193" s="3" t="str">
        <f>=HYPERLINK("https://www.macrumors.com/2025/08/12/kuo-on-iphone-18-a20-chip-packaging/", "https://www.macrumors.com/2025/08/12/kuo-on-iphone-18-a20-chip-packaging/")</f>
        <v>https://www.macrumors.com/2025/08/12/kuo-on-iphone-18-a20-chip-packaging/</v>
      </c>
      <c r="G1193"/>
      <c r="H1193" t="inlineStr">
        <is>
          <t>Website</t>
        </is>
      </c>
      <c r="I1193" t="inlineStr">
        <is>
          <t>งานประจำวัน</t>
        </is>
      </c>
      <c r="J1193" t="inlineStr">
        <is>
          <t>Done</t>
        </is>
      </c>
      <c r="K1193"/>
      <c r="L1193" s="3"/>
      <c r="M1193" t="inlineStr">
        <is>
          <t>1</t>
        </is>
      </c>
      <c r="N1193" t="inlineStr">
        <is>
          <t>Apple</t>
        </is>
      </c>
      <c r="O1193"/>
    </row>
    <row r="1194" ht="12.75" customHeight="1">
      <c r="A1194" t="inlineStr">
        <is>
          <t>ปุ่มรีโพสต์ใน IG หาย แก้ไง</t>
        </is>
      </c>
      <c r="B1194" t="inlineStr">
        <is>
          <t>Sasithakan Sritonthip,Nattida Suriyodara</t>
        </is>
      </c>
      <c r="C1194" s="2">
        <v>45882</v>
      </c>
      <c r="D1194" s="2"/>
      <c r="E1194" t="inlineStr">
        <is>
          <t>ปกติ</t>
        </is>
      </c>
      <c r="F1194" s="3"/>
      <c r="G1194"/>
      <c r="H1194" t="inlineStr">
        <is>
          <t>Shorts</t>
        </is>
      </c>
      <c r="I1194" t="inlineStr">
        <is>
          <t>เสนอไอเดีย</t>
        </is>
      </c>
      <c r="J1194" t="inlineStr">
        <is>
          <t>Done</t>
        </is>
      </c>
      <c r="K1194"/>
      <c r="L1194" s="3"/>
      <c r="M1194" t="inlineStr">
        <is>
          <t>1</t>
        </is>
      </c>
      <c r="N1194" t="inlineStr">
        <is>
          <t>ทั่วไป</t>
        </is>
      </c>
      <c r="O1194"/>
    </row>
    <row r="1195" ht="12.75" customHeight="1">
      <c r="A1195" t="inlineStr">
        <is>
          <t>Samsung เคาะ 3 ทางเลือก เยียวยาผู้ใช้มือถือ 11 รุ่น กรณีจอเป็นเส้นแนวตั้ง
</t>
        </is>
      </c>
      <c r="B1195" t="inlineStr">
        <is>
          <t>Thitirath Kinaret</t>
        </is>
      </c>
      <c r="C1195" s="2">
        <v>45882</v>
      </c>
      <c r="D1195" s="2">
        <v>45882</v>
      </c>
      <c r="E1195" t="inlineStr">
        <is>
          <t>ปกติ</t>
        </is>
      </c>
      <c r="F1195" s="3"/>
      <c r="G1195"/>
      <c r="H1195" t="inlineStr">
        <is>
          <t>Pic Posts / Album, Website</t>
        </is>
      </c>
      <c r="I1195" t="inlineStr">
        <is>
          <t>งานประจำวัน</t>
        </is>
      </c>
      <c r="J1195" t="inlineStr">
        <is>
          <t>Done</t>
        </is>
      </c>
      <c r="K1195"/>
      <c r="L1195" s="3"/>
      <c r="M1195" t="inlineStr">
        <is>
          <t>1</t>
        </is>
      </c>
      <c r="N1195" t="inlineStr">
        <is>
          <t>ทั่วไป</t>
        </is>
      </c>
      <c r="O1195"/>
    </row>
    <row r="1196" ht="12.75" customHeight="1">
      <c r="A1196" t="inlineStr">
        <is>
          <t>iPad mini รุ่นใหม่จะใช้ชิป A19 Pro
</t>
        </is>
      </c>
      <c r="B1196" t="inlineStr">
        <is>
          <t>Thitirath Kinaret</t>
        </is>
      </c>
      <c r="C1196" s="2">
        <v>45882</v>
      </c>
      <c r="D1196" s="2">
        <v>45882</v>
      </c>
      <c r="E1196" t="inlineStr">
        <is>
          <t>ปกติ</t>
        </is>
      </c>
      <c r="F1196" s="3"/>
      <c r="G1196"/>
      <c r="H1196" t="inlineStr">
        <is>
          <t>Website</t>
        </is>
      </c>
      <c r="I1196" t="inlineStr">
        <is>
          <t>งานประจำวัน</t>
        </is>
      </c>
      <c r="J1196" t="inlineStr">
        <is>
          <t>Done</t>
        </is>
      </c>
      <c r="K1196"/>
      <c r="L1196" s="3"/>
      <c r="M1196" t="inlineStr">
        <is>
          <t>1</t>
        </is>
      </c>
      <c r="N1196" t="inlineStr">
        <is>
          <t>Apple</t>
        </is>
      </c>
      <c r="O1196"/>
    </row>
    <row r="1197" ht="12.75" customHeight="1">
      <c r="A1197" t="inlineStr">
        <is>
          <t>iOS 26 Beta 6 (ตัวทดสอบ) มาแล้ว! มีอะไรใหม่บ้าง
</t>
        </is>
      </c>
      <c r="B1197" t="inlineStr">
        <is>
          <t>Thitirath Kinaret</t>
        </is>
      </c>
      <c r="C1197" s="2">
        <v>45882</v>
      </c>
      <c r="D1197" s="2">
        <v>45882</v>
      </c>
      <c r="E1197" t="inlineStr">
        <is>
          <t>ปกติ</t>
        </is>
      </c>
      <c r="F1197" s="3"/>
      <c r="G1197"/>
      <c r="H1197" t="inlineStr">
        <is>
          <t>YouTube</t>
        </is>
      </c>
      <c r="I1197" t="inlineStr">
        <is>
          <t>งานประจำวัน</t>
        </is>
      </c>
      <c r="J1197" t="inlineStr">
        <is>
          <t>Done</t>
        </is>
      </c>
      <c r="K1197"/>
      <c r="L1197" s="3"/>
      <c r="M1197" t="inlineStr">
        <is>
          <t>1</t>
        </is>
      </c>
      <c r="N1197" t="inlineStr">
        <is>
          <t>Apple</t>
        </is>
      </c>
      <c r="O1197"/>
    </row>
    <row r="1198" ht="12.75" customHeight="1">
      <c r="A1198" t="inlineStr">
        <is>
          <t>OpenAI เปิดให้ผู้ใช้เลือกโมเดลย่อยของ GPT-5, 4o กลับมาเลือกได้แล้ว
</t>
        </is>
      </c>
      <c r="B1198" t="inlineStr">
        <is>
          <t>Thitirath Kinaret</t>
        </is>
      </c>
      <c r="C1198" s="2">
        <v>45882</v>
      </c>
      <c r="D1198" s="2">
        <v>45882</v>
      </c>
      <c r="E1198" t="inlineStr">
        <is>
          <t>ปกติ</t>
        </is>
      </c>
      <c r="F1198" s="3"/>
      <c r="G1198"/>
      <c r="H1198" t="inlineStr">
        <is>
          <t>Website</t>
        </is>
      </c>
      <c r="I1198" t="inlineStr">
        <is>
          <t>งานประจำวัน</t>
        </is>
      </c>
      <c r="J1198" t="inlineStr">
        <is>
          <t>Done</t>
        </is>
      </c>
      <c r="K1198"/>
      <c r="L1198" s="3"/>
      <c r="M1198" t="inlineStr">
        <is>
          <t>1</t>
        </is>
      </c>
      <c r="N1198" t="inlineStr">
        <is>
          <t>AI</t>
        </is>
      </c>
      <c r="O1198"/>
    </row>
    <row r="1199" ht="12.75" customHeight="1">
      <c r="A1199" t="inlineStr">
        <is>
          <t>เผยภาพ iPhone 17 Pro เครื่องก็อปใช้ระบบ Android ที่เลียนแบบ iOS
</t>
        </is>
      </c>
      <c r="B1199" t="inlineStr">
        <is>
          <t>Thitirath Kinaret</t>
        </is>
      </c>
      <c r="C1199" s="2">
        <v>45882</v>
      </c>
      <c r="D1199" s="2">
        <v>45882</v>
      </c>
      <c r="E1199" t="inlineStr">
        <is>
          <t>ปกติ</t>
        </is>
      </c>
      <c r="F1199" s="3"/>
      <c r="G1199"/>
      <c r="H1199" t="inlineStr">
        <is>
          <t>Website, Pic Posts / Album</t>
        </is>
      </c>
      <c r="I1199" t="inlineStr">
        <is>
          <t>งานประจำวัน</t>
        </is>
      </c>
      <c r="J1199" t="inlineStr">
        <is>
          <t>Done</t>
        </is>
      </c>
      <c r="K1199"/>
      <c r="L1199" s="3"/>
      <c r="M1199" t="inlineStr">
        <is>
          <t>1</t>
        </is>
      </c>
      <c r="N1199" t="inlineStr">
        <is>
          <t>Apple</t>
        </is>
      </c>
      <c r="O1199"/>
    </row>
    <row r="1200" ht="12.75" customHeight="1">
      <c r="A1200" t="inlineStr">
        <is>
          <t>OpenAI เปิดให้ผู้ใช้ Plus ใช้ GPT-4o ต่อ ท่ามกลางเสียงวิจารณ์ต่อ GPT-5
</t>
        </is>
      </c>
      <c r="B1200" t="inlineStr">
        <is>
          <t>Thitirath Kinaret</t>
        </is>
      </c>
      <c r="C1200" s="2">
        <v>45882</v>
      </c>
      <c r="D1200" s="2">
        <v>45882</v>
      </c>
      <c r="E1200" t="inlineStr">
        <is>
          <t>ปกติ</t>
        </is>
      </c>
      <c r="F1200" s="3"/>
      <c r="G1200"/>
      <c r="H1200" t="inlineStr">
        <is>
          <t>Website</t>
        </is>
      </c>
      <c r="I1200" t="inlineStr">
        <is>
          <t>งานประจำวัน</t>
        </is>
      </c>
      <c r="J1200" t="inlineStr">
        <is>
          <t>Done</t>
        </is>
      </c>
      <c r="K1200"/>
      <c r="L1200" s="3"/>
      <c r="M1200" t="inlineStr">
        <is>
          <t>1</t>
        </is>
      </c>
      <c r="N1200" t="inlineStr">
        <is>
          <t>AI</t>
        </is>
      </c>
      <c r="O1200"/>
    </row>
    <row r="1201" ht="12.75" customHeight="1">
      <c r="A1201" t="inlineStr">
        <is>
          <t>Apple Cinemas ยังสู้ต่อ! หลังถูก Apple ฟ้องเรื่องละเมิดเครื่องหมายการค้า
</t>
        </is>
      </c>
      <c r="B1201" t="inlineStr">
        <is>
          <t>Thitirath Kinaret</t>
        </is>
      </c>
      <c r="C1201" s="2">
        <v>45882</v>
      </c>
      <c r="D1201" s="2">
        <v>45882</v>
      </c>
      <c r="E1201" t="inlineStr">
        <is>
          <t>ปกติ</t>
        </is>
      </c>
      <c r="F1201" s="3"/>
      <c r="G1201"/>
      <c r="H1201" t="inlineStr">
        <is>
          <t>Website</t>
        </is>
      </c>
      <c r="I1201" t="inlineStr">
        <is>
          <t>งานประจำวัน</t>
        </is>
      </c>
      <c r="J1201" t="inlineStr">
        <is>
          <t>Done</t>
        </is>
      </c>
      <c r="K1201"/>
      <c r="L1201" s="3"/>
      <c r="M1201" t="inlineStr">
        <is>
          <t>1</t>
        </is>
      </c>
      <c r="N1201" t="inlineStr">
        <is>
          <t>Apple</t>
        </is>
      </c>
      <c r="O1201"/>
    </row>
    <row r="1202" ht="12.75" customHeight="1">
      <c r="A1202" t="inlineStr">
        <is>
          <t>iOS 26 นำปุ่ม C/AC กลับมาในแอปเครื่องคิดเลข
</t>
        </is>
      </c>
      <c r="B1202" t="inlineStr">
        <is>
          <t>Thitirath Kinaret</t>
        </is>
      </c>
      <c r="C1202" s="2">
        <v>45882</v>
      </c>
      <c r="D1202" s="2">
        <v>45882</v>
      </c>
      <c r="E1202" t="inlineStr">
        <is>
          <t>ปกติ</t>
        </is>
      </c>
      <c r="F1202" s="3"/>
      <c r="G1202"/>
      <c r="H1202" t="inlineStr">
        <is>
          <t>Website, Pic Posts / Album</t>
        </is>
      </c>
      <c r="I1202" t="inlineStr">
        <is>
          <t>งานประจำวัน</t>
        </is>
      </c>
      <c r="J1202" t="inlineStr">
        <is>
          <t>Done</t>
        </is>
      </c>
      <c r="K1202"/>
      <c r="L1202" s="3"/>
      <c r="M1202" t="inlineStr">
        <is>
          <t>1</t>
        </is>
      </c>
      <c r="N1202" t="inlineStr">
        <is>
          <t>Apple</t>
        </is>
      </c>
      <c r="O1202"/>
    </row>
    <row r="1203" ht="12.75" customHeight="1">
      <c r="A1203" t="inlineStr">
        <is>
          <t>Apple โต้ข้อกล่าวหาของ Elon Musk เรื่องการให้ความสำคัญกับ ChatGPT บน App Store
</t>
        </is>
      </c>
      <c r="B1203" t="inlineStr">
        <is>
          <t>Thitirath Kinaret</t>
        </is>
      </c>
      <c r="C1203" s="2">
        <v>45882</v>
      </c>
      <c r="D1203" s="2">
        <v>45882</v>
      </c>
      <c r="E1203" t="inlineStr">
        <is>
          <t>ปกติ</t>
        </is>
      </c>
      <c r="F1203" s="3"/>
      <c r="G1203"/>
      <c r="H1203" t="inlineStr">
        <is>
          <t>Website, Pic Posts / Album</t>
        </is>
      </c>
      <c r="I1203" t="inlineStr">
        <is>
          <t>งานประจำวัน</t>
        </is>
      </c>
      <c r="J1203" t="inlineStr">
        <is>
          <t>Done</t>
        </is>
      </c>
      <c r="K1203"/>
      <c r="L1203" s="3"/>
      <c r="M1203" t="inlineStr">
        <is>
          <t>1</t>
        </is>
      </c>
      <c r="N1203" t="inlineStr">
        <is>
          <t>Apple</t>
        </is>
      </c>
      <c r="O1203"/>
    </row>
    <row r="1204" ht="12.75" customHeight="1">
      <c r="A1204" t="inlineStr">
        <is>
          <t>Apple อาจเปิดตัว MacBook 12.9″ ราคาประหยัด ปลายปี 2025 นี้
</t>
        </is>
      </c>
      <c r="B1204" t="inlineStr">
        <is>
          <t>Thitirath Kinaret</t>
        </is>
      </c>
      <c r="C1204" s="2">
        <v>45881</v>
      </c>
      <c r="D1204" s="2">
        <v>45881</v>
      </c>
      <c r="E1204" t="inlineStr">
        <is>
          <t>ปกติ</t>
        </is>
      </c>
      <c r="F1204" s="3"/>
      <c r="G1204"/>
      <c r="H1204" t="inlineStr">
        <is>
          <t>Website, Pic Posts / Album</t>
        </is>
      </c>
      <c r="I1204" t="inlineStr">
        <is>
          <t>งานประจำวัน</t>
        </is>
      </c>
      <c r="J1204" t="inlineStr">
        <is>
          <t>Done</t>
        </is>
      </c>
      <c r="K1204"/>
      <c r="L1204" s="3"/>
      <c r="M1204" t="inlineStr">
        <is>
          <t>1</t>
        </is>
      </c>
      <c r="N1204" t="inlineStr">
        <is>
          <t>Apple</t>
        </is>
      </c>
      <c r="O1204"/>
    </row>
    <row r="1205" ht="12.75" customHeight="1">
      <c r="A1205" t="inlineStr">
        <is>
          <t>พบเบาะแสฟีเจอร์ Live Translation ของ AirPods ใน iOS 26 Beta
</t>
        </is>
      </c>
      <c r="B1205" t="inlineStr">
        <is>
          <t>Thitirath Kinaret</t>
        </is>
      </c>
      <c r="C1205" s="2">
        <v>45881</v>
      </c>
      <c r="D1205" s="2">
        <v>45881</v>
      </c>
      <c r="E1205" t="inlineStr">
        <is>
          <t>ปกติ</t>
        </is>
      </c>
      <c r="F1205" s="3"/>
      <c r="G1205"/>
      <c r="H1205" t="inlineStr">
        <is>
          <t>Website, Pic Posts / Album</t>
        </is>
      </c>
      <c r="I1205" t="inlineStr">
        <is>
          <t>งานประจำวัน</t>
        </is>
      </c>
      <c r="J1205" t="inlineStr">
        <is>
          <t>Done</t>
        </is>
      </c>
      <c r="K1205"/>
      <c r="L1205" s="3"/>
      <c r="M1205" t="inlineStr">
        <is>
          <t>1</t>
        </is>
      </c>
      <c r="N1205" t="inlineStr">
        <is>
          <t>Apple</t>
        </is>
      </c>
      <c r="O1205"/>
    </row>
    <row r="1206" ht="12.75" customHeight="1">
      <c r="A1206" t="inlineStr">
        <is>
          <t>นักวิเคราะห์อีกรายเผย iPhone 17 ในสหรัฐฯ มีแนวโน้มราคาแพงขึ้นตามภาษีนำเข้า
</t>
        </is>
      </c>
      <c r="B1206" t="inlineStr">
        <is>
          <t>Thitirath Kinaret</t>
        </is>
      </c>
      <c r="C1206" s="2">
        <v>45880</v>
      </c>
      <c r="D1206" s="2"/>
      <c r="E1206" t="inlineStr">
        <is>
          <t>ปกติ</t>
        </is>
      </c>
      <c r="F1206" s="3" t="str">
        <f>=HYPERLINK("https://www.iphonemod.net/iphone-17-models-likely-to-have-higher-prices-another-analyst-says.html", "https://www.iphonemod.net/iphone-17-models-likely-to-have-higher-prices-another-analyst-says.html")</f>
        <v>https://www.iphonemod.net/iphone-17-models-likely-to-have-higher-prices-another-analyst-says.html</v>
      </c>
      <c r="G1206"/>
      <c r="H1206" t="inlineStr">
        <is>
          <t>Website, Pic Posts / Album</t>
        </is>
      </c>
      <c r="I1206" t="inlineStr">
        <is>
          <t>งานประจำวัน</t>
        </is>
      </c>
      <c r="J1206" t="inlineStr">
        <is>
          <t>Done</t>
        </is>
      </c>
      <c r="K1206"/>
      <c r="L1206" s="3"/>
      <c r="M1206" t="inlineStr">
        <is>
          <t>1</t>
        </is>
      </c>
      <c r="N1206" t="inlineStr">
        <is>
          <t>Apple</t>
        </is>
      </c>
      <c r="O1206"/>
    </row>
    <row r="1207" ht="12.75" customHeight="1">
      <c r="A1207" t="inlineStr">
        <is>
          <t>พาชมพรีวิวไฮไลท์เด่น HUAWEI Pura80 Series</t>
        </is>
      </c>
      <c r="B1207" t="inlineStr">
        <is>
          <t>Thitirath Kinaret</t>
        </is>
      </c>
      <c r="C1207" s="2">
        <v>45880</v>
      </c>
      <c r="D1207" s="2"/>
      <c r="E1207" t="inlineStr">
        <is>
          <t>ปกติ</t>
        </is>
      </c>
      <c r="F1207" s="3" t="str">
        <f>=HYPERLINK("https://www.facebook.com/iPhonemod/posts/pfbid0CTVxhbLgqV8K8VeQRqjRKmUwxbC9xinxkRW7raWuDSUjP9JrbPsxEzFXpVPro41vl?__cft__[0]=AZUxkAbzFrEJW1zmsZIbeP-hbpO-NP9jbeXnN0VkelZRQp1nAILZZYcf8kMfw3vYKtVO-q0_X0cAtqf1_x8Lu6pw0yzkKCDfw4onbqgDox6Z_UZp-pHnJWU_aSVGghUAy1PQrEcnBTn-KPkIVFqeyCtz&amp;__tn__=%2CO%2CP-R", "https://www.facebook.com/iPhonemod/posts/pfbid0CTVxhbLgqV8K8VeQRqjRKmUwxbC9xinxkRW7raWuDSUjP9JrbPsxEzFXpVPro41vl?__cft__[0]=AZUxkAbzFrEJW1zmsZIbeP-hbpO-NP9jbeXnN0VkelZRQp1nAILZZYcf8kMfw3vYKtVO-q0_X0cAtqf1_x8Lu6pw0yzkKCDfw4onbqgDox6Z_UZp-pHnJWU_aSVGghUAy1PQrEcnBTn-KPkIVFqeyCtz&amp;__tn__=%2CO%2CP-R")</f>
        <v>https://www.facebook.com/iPhonemod/posts/pfbid0CTVxhbLgqV8K8VeQRqjRKmUwxbC9xinxkRW7raWuDSUjP9JrbPsxEzFXpVPro41vl?__cft__[0]=AZUxkAbzFrEJW1zmsZIbeP-hbpO-NP9jbeXnN0VkelZRQp1nAILZZYcf8kMfw3vYKtVO-q0_X0cAtqf1_x8Lu6pw0yzkKCDfw4onbqgDox6Z_UZp-pHnJWU_aSVGghUAy1PQrEcnBTn-KPkIVFqeyCtz&amp;__tn__=%2CO%2CP-R</v>
      </c>
      <c r="G1207"/>
      <c r="H1207" t="inlineStr">
        <is>
          <t>Pic Posts / Album</t>
        </is>
      </c>
      <c r="I1207" t="inlineStr">
        <is>
          <t>งานลูกค้า</t>
        </is>
      </c>
      <c r="J1207" t="inlineStr">
        <is>
          <t>Done</t>
        </is>
      </c>
      <c r="K1207"/>
      <c r="L1207" s="3"/>
      <c r="M1207" t="inlineStr">
        <is>
          <t>1</t>
        </is>
      </c>
      <c r="N1207" t="inlineStr">
        <is>
          <t>Android</t>
        </is>
      </c>
      <c r="O1207" t="inlineStr">
        <is>
          <t>BaNANA</t>
        </is>
      </c>
    </row>
    <row r="1208" ht="12.75" customHeight="1">
      <c r="A1208" t="inlineStr">
        <is>
          <t>ข้อมูลหลุด Pixel Watch 4 เผยสเปคและฟีเจอร์ใหม่</t>
        </is>
      </c>
      <c r="B1208" t="inlineStr">
        <is>
          <t>Saktaphat Kordjan</t>
        </is>
      </c>
      <c r="C1208" s="2">
        <v>45878</v>
      </c>
      <c r="D1208" s="2"/>
      <c r="E1208" t="inlineStr">
        <is>
          <t>ปกติ</t>
        </is>
      </c>
      <c r="F1208" s="3"/>
      <c r="G1208"/>
      <c r="H1208" t="inlineStr">
        <is>
          <t>Website</t>
        </is>
      </c>
      <c r="I1208" t="inlineStr">
        <is>
          <t>งานประจำวัน</t>
        </is>
      </c>
      <c r="J1208" t="inlineStr">
        <is>
          <t>Done</t>
        </is>
      </c>
      <c r="K1208"/>
      <c r="L1208" s="3"/>
      <c r="M1208" t="inlineStr">
        <is>
          <t>1</t>
        </is>
      </c>
      <c r="N1208" t="inlineStr">
        <is>
          <t>Android</t>
        </is>
      </c>
      <c r="O1208"/>
    </row>
    <row r="1209" ht="12.75" customHeight="1">
      <c r="A1209" t="inlineStr">
        <is>
          <t>Apple อาจเปิดตัวเคส Liquid Silicone สำหรับ iPhone 17
</t>
        </is>
      </c>
      <c r="B1209" t="inlineStr">
        <is>
          <t>Thitirath Kinaret</t>
        </is>
      </c>
      <c r="C1209" s="2">
        <v>45877</v>
      </c>
      <c r="D1209" s="2"/>
      <c r="E1209" t="inlineStr">
        <is>
          <t>ปกติ</t>
        </is>
      </c>
      <c r="F1209" s="3" t="str">
        <f>=HYPERLINK("https://www.iphonemod.net/apple-to-launch-liquid-silicone-iphone-17-cases-with-optional-lanyard-rumors.html", "https://www.iphonemod.net/apple-to-launch-liquid-silicone-iphone-17-cases-with-optional-lanyard-rumors.html")</f>
        <v>https://www.iphonemod.net/apple-to-launch-liquid-silicone-iphone-17-cases-with-optional-lanyard-rumors.html</v>
      </c>
      <c r="G1209"/>
      <c r="H1209" t="inlineStr">
        <is>
          <t>Website</t>
        </is>
      </c>
      <c r="I1209" t="inlineStr">
        <is>
          <t>งานประจำวัน</t>
        </is>
      </c>
      <c r="J1209" t="inlineStr">
        <is>
          <t>Done</t>
        </is>
      </c>
      <c r="K1209"/>
      <c r="L1209" s="3"/>
      <c r="M1209" t="inlineStr">
        <is>
          <t>1</t>
        </is>
      </c>
      <c r="N1209" t="inlineStr">
        <is>
          <t>Apple</t>
        </is>
      </c>
      <c r="O1209"/>
    </row>
    <row r="1210" ht="12.75" customHeight="1">
      <c r="A1210" t="inlineStr">
        <is>
          <t>iPhone 17 Pro อาจใช้ความจุเริ่มต้นที่ 256GB พร้อมราคาเพิ่มขึ้น 50 ดอลลาร์</t>
        </is>
      </c>
      <c r="B1210" t="inlineStr">
        <is>
          <t>Thitirath Kinaret</t>
        </is>
      </c>
      <c r="C1210" s="2">
        <v>45877</v>
      </c>
      <c r="D1210" s="2"/>
      <c r="E1210" t="inlineStr">
        <is>
          <t>ปกติ</t>
        </is>
      </c>
      <c r="F1210" s="3" t="str">
        <f>=HYPERLINK("https://www.iphonemod.net/iphone-17-pro-start-at-256gb-storage-with-price-increase-report.html", "https://www.iphonemod.net/iphone-17-pro-start-at-256gb-storage-with-price-increase-report.html")</f>
        <v>https://www.iphonemod.net/iphone-17-pro-start-at-256gb-storage-with-price-increase-report.html</v>
      </c>
      <c r="G1210"/>
      <c r="H1210" t="inlineStr">
        <is>
          <t>Website</t>
        </is>
      </c>
      <c r="I1210" t="inlineStr">
        <is>
          <t>งานประจำวัน</t>
        </is>
      </c>
      <c r="J1210" t="inlineStr">
        <is>
          <t>Done</t>
        </is>
      </c>
      <c r="K1210"/>
      <c r="L1210" s="3"/>
      <c r="M1210" t="inlineStr">
        <is>
          <t>1</t>
        </is>
      </c>
      <c r="N1210" t="inlineStr">
        <is>
          <t>Apple</t>
        </is>
      </c>
      <c r="O1210"/>
    </row>
    <row r="1211" ht="12.75" customHeight="1">
      <c r="A1211" t="inlineStr">
        <is>
          <t>รีวิว Honor Magic V5</t>
        </is>
      </c>
      <c r="B1211" t="inlineStr">
        <is>
          <t>Thitirath Kinaret</t>
        </is>
      </c>
      <c r="C1211" s="2">
        <v>45877</v>
      </c>
      <c r="D1211" s="2"/>
      <c r="E1211" t="inlineStr">
        <is>
          <t>ปกติ</t>
        </is>
      </c>
      <c r="F1211" s="3"/>
      <c r="G1211"/>
      <c r="H1211" t="inlineStr">
        <is>
          <t>YouTube, Shorts</t>
        </is>
      </c>
      <c r="I1211" t="inlineStr">
        <is>
          <t>งานลูกค้า</t>
        </is>
      </c>
      <c r="J1211" t="inlineStr">
        <is>
          <t>Done</t>
        </is>
      </c>
      <c r="K1211"/>
      <c r="L1211" s="3"/>
      <c r="M1211" t="inlineStr">
        <is>
          <t>1</t>
        </is>
      </c>
      <c r="N1211" t="inlineStr">
        <is>
          <t>ลูกค้า</t>
        </is>
      </c>
      <c r="O1211" t="inlineStr">
        <is>
          <t>Honor</t>
        </is>
      </c>
    </row>
    <row r="1212" ht="12.75" customHeight="1">
      <c r="A1212" t="inlineStr">
        <is>
          <t>Galaxy Z Flip7/FE</t>
        </is>
      </c>
      <c r="B1212" t="inlineStr">
        <is>
          <t>Saktaphat Kordjan</t>
        </is>
      </c>
      <c r="C1212" s="2">
        <v>45877</v>
      </c>
      <c r="D1212" s="2"/>
      <c r="E1212" t="inlineStr">
        <is>
          <t>ปกติ</t>
        </is>
      </c>
      <c r="F1212" s="3"/>
      <c r="G1212"/>
      <c r="H1212" t="inlineStr">
        <is>
          <t>Pic Posts / Album</t>
        </is>
      </c>
      <c r="I1212" t="inlineStr">
        <is>
          <t>งานลูกค้า</t>
        </is>
      </c>
      <c r="J1212" t="inlineStr">
        <is>
          <t>Done</t>
        </is>
      </c>
      <c r="K1212"/>
      <c r="L1212" s="3"/>
      <c r="M1212" t="inlineStr">
        <is>
          <t>1</t>
        </is>
      </c>
      <c r="N1212" t="inlineStr">
        <is>
          <t>Android</t>
        </is>
      </c>
      <c r="O1212" t="inlineStr">
        <is>
          <t>Samsung</t>
        </is>
      </c>
    </row>
    <row r="1213" ht="12.75" customHeight="1">
      <c r="A1213" t="inlineStr">
        <is>
          <t>Apple ร่วมมือกับ Samsung  ผลิตเซ็นเซอร์ภาพใหม่สำหรับ iPhone</t>
        </is>
      </c>
      <c r="B1213" t="inlineStr">
        <is>
          <t>Sasithakan Sritonthip</t>
        </is>
      </c>
      <c r="C1213" s="2">
        <v>45877</v>
      </c>
      <c r="D1213" s="2"/>
      <c r="E1213" t="inlineStr">
        <is>
          <t>ปกติ</t>
        </is>
      </c>
      <c r="F1213" s="3" t="str">
        <f>=HYPERLINK("https://www.macrumors.com/2025/08/07/apple-to-switch-to-us-made-iphone-sensors/", "https://www.macrumors.com/2025/08/07/apple-to-switch-to-us-made-iphone-sensors/")</f>
        <v>https://www.macrumors.com/2025/08/07/apple-to-switch-to-us-made-iphone-sensors/</v>
      </c>
      <c r="G1213"/>
      <c r="H1213" t="inlineStr">
        <is>
          <t>Website</t>
        </is>
      </c>
      <c r="I1213" t="inlineStr">
        <is>
          <t>งานประจำวัน</t>
        </is>
      </c>
      <c r="J1213" t="inlineStr">
        <is>
          <t>Done</t>
        </is>
      </c>
      <c r="K1213" t="inlineStr">
        <is>
          <t>https://www.iphonemod.net/apple-and-samsung-collab-made-sensor-iphone.html</t>
        </is>
      </c>
      <c r="L1213" s="3"/>
      <c r="M1213" t="inlineStr">
        <is>
          <t>1</t>
        </is>
      </c>
      <c r="N1213" t="inlineStr">
        <is>
          <t>Apple</t>
        </is>
      </c>
      <c r="O1213"/>
    </row>
    <row r="1214" ht="12.75" customHeight="1">
      <c r="A1214" t="inlineStr">
        <is>
          <t xml:space="preserve">ChatGPT-5 เปิดให้ใช้งานแล้ว </t>
        </is>
      </c>
      <c r="B1214" t="inlineStr">
        <is>
          <t>Nattida Suriyodara</t>
        </is>
      </c>
      <c r="C1214" s="2">
        <v>45877</v>
      </c>
      <c r="D1214" s="2"/>
      <c r="E1214" t="inlineStr">
        <is>
          <t>ด่วน!</t>
        </is>
      </c>
      <c r="F1214" s="3"/>
      <c r="G1214"/>
      <c r="H1214" t="inlineStr">
        <is>
          <t>Website</t>
        </is>
      </c>
      <c r="I1214" t="inlineStr">
        <is>
          <t>งานประจำวัน</t>
        </is>
      </c>
      <c r="J1214" t="inlineStr">
        <is>
          <t>Done</t>
        </is>
      </c>
      <c r="K1214"/>
      <c r="L1214" s="3"/>
      <c r="M1214" t="inlineStr">
        <is>
          <t>1</t>
        </is>
      </c>
      <c r="N1214" t="inlineStr">
        <is>
          <t>AI</t>
        </is>
      </c>
      <c r="O1214"/>
    </row>
    <row r="1215" ht="12.75" customHeight="1">
      <c r="A1215" t="inlineStr">
        <is>
          <t>มาแล้ว! ChatGPT-5</t>
        </is>
      </c>
      <c r="B1215" t="inlineStr">
        <is>
          <t>Nattida Suriyodara,Sasithakan Sritonthip</t>
        </is>
      </c>
      <c r="C1215" s="2">
        <v>45877</v>
      </c>
      <c r="D1215" s="2"/>
      <c r="E1215" t="inlineStr">
        <is>
          <t>ด่วน!</t>
        </is>
      </c>
      <c r="F1215" s="3"/>
      <c r="G1215"/>
      <c r="H1215" t="inlineStr">
        <is>
          <t>Shorts</t>
        </is>
      </c>
      <c r="I1215" t="inlineStr">
        <is>
          <t>งานประจำวัน</t>
        </is>
      </c>
      <c r="J1215" t="inlineStr">
        <is>
          <t>Done</t>
        </is>
      </c>
      <c r="K1215"/>
      <c r="L1215" s="3"/>
      <c r="M1215" t="inlineStr">
        <is>
          <t>1</t>
        </is>
      </c>
      <c r="N1215" t="inlineStr">
        <is>
          <t>AI</t>
        </is>
      </c>
      <c r="O1215"/>
    </row>
    <row r="1216" ht="12.75" customHeight="1">
      <c r="A1216" t="inlineStr">
        <is>
          <t>Apple เพิ่มแอนิเมชันการแจ้งเตือนแบตเตอรี่ต่ำแบบใหม่! ใน iOS Beta 5</t>
        </is>
      </c>
      <c r="B1216" t="inlineStr">
        <is>
          <t>Sasithakan Sritonthip</t>
        </is>
      </c>
      <c r="C1216" s="2">
        <v>45877</v>
      </c>
      <c r="D1216" s="2"/>
      <c r="E1216" t="inlineStr">
        <is>
          <t>ปกติ</t>
        </is>
      </c>
      <c r="F1216" s="3" t="str">
        <f>=HYPERLINK("https://9to5mac.com/2025/08/05/ios-26-beta-adds-a-cute-new-low-battery-animation/", "https://9to5mac.com/2025/08/05/ios-26-beta-adds-a-cute-new-low-battery-animation/")</f>
        <v>https://9to5mac.com/2025/08/05/ios-26-beta-adds-a-cute-new-low-battery-animation/</v>
      </c>
      <c r="G1216"/>
      <c r="H1216" t="inlineStr">
        <is>
          <t>Website</t>
        </is>
      </c>
      <c r="I1216" t="inlineStr">
        <is>
          <t>งานประจำวัน</t>
        </is>
      </c>
      <c r="J1216" t="inlineStr">
        <is>
          <t>Done</t>
        </is>
      </c>
      <c r="K1216"/>
      <c r="L1216" s="3" t="str">
        <f>=HYPERLINK("https://www.iphonemod.net/ios-26-beta-adds-new-low-battery-animation.html", "https://www.iphonemod.net/ios-26-beta-adds-new-low-battery-animation.html")</f>
        <v>https://www.iphonemod.net/ios-26-beta-adds-new-low-battery-animation.html</v>
      </c>
      <c r="M1216" t="inlineStr">
        <is>
          <t>1</t>
        </is>
      </c>
      <c r="N1216" t="inlineStr">
        <is>
          <t>Apple</t>
        </is>
      </c>
      <c r="O1216"/>
    </row>
    <row r="1217" ht="12.75" customHeight="1">
      <c r="A1217" t="inlineStr">
        <is>
          <t xml:space="preserve">เทียบสเปค 3 จอพับ มีอะไรต่างกันบ้าง </t>
        </is>
      </c>
      <c r="B1217" t="inlineStr">
        <is>
          <t>Saktaphat Kordjan</t>
        </is>
      </c>
      <c r="C1217" s="2">
        <v>45877</v>
      </c>
      <c r="D1217" s="2"/>
      <c r="E1217" t="inlineStr">
        <is>
          <t>ปกติ</t>
        </is>
      </c>
      <c r="F1217" s="3"/>
      <c r="G1217"/>
      <c r="H1217" t="inlineStr">
        <is>
          <t>Shorts</t>
        </is>
      </c>
      <c r="I1217" t="inlineStr">
        <is>
          <t>งานประจำวัน</t>
        </is>
      </c>
      <c r="J1217" t="inlineStr">
        <is>
          <t>Done</t>
        </is>
      </c>
      <c r="K1217"/>
      <c r="L1217" s="3"/>
      <c r="M1217" t="inlineStr">
        <is>
          <t>1</t>
        </is>
      </c>
      <c r="N1217" t="inlineStr">
        <is>
          <t>Android</t>
        </is>
      </c>
      <c r="O1217"/>
    </row>
    <row r="1218" ht="12.75" customHeight="1">
      <c r="A1218" t="inlineStr">
        <is>
          <t>Huawei นำเสนอการออกแบบพัดลมระบายความร้อนใน Mate 80</t>
        </is>
      </c>
      <c r="B1218" t="inlineStr">
        <is>
          <t>Saktaphat Kordjan</t>
        </is>
      </c>
      <c r="C1218" s="2">
        <v>45877</v>
      </c>
      <c r="D1218" s="2"/>
      <c r="E1218" t="inlineStr">
        <is>
          <t>ปกติ</t>
        </is>
      </c>
      <c r="F1218" s="3"/>
      <c r="G1218"/>
      <c r="H1218" t="inlineStr">
        <is>
          <t>Website</t>
        </is>
      </c>
      <c r="I1218" t="inlineStr">
        <is>
          <t>งานประจำวัน</t>
        </is>
      </c>
      <c r="J1218" t="inlineStr">
        <is>
          <t>Done</t>
        </is>
      </c>
      <c r="K1218"/>
      <c r="L1218" s="3"/>
      <c r="M1218" t="inlineStr">
        <is>
          <t>1</t>
        </is>
      </c>
      <c r="N1218" t="inlineStr">
        <is>
          <t>Android</t>
        </is>
      </c>
      <c r="O1218"/>
    </row>
    <row r="1219" ht="12.75" customHeight="1">
      <c r="A1219" t="inlineStr">
        <is>
          <t>PS5 ยอดขายทะลุ 80 ล้านเครื่อง แม้ขาดแคลนเกมใหม่</t>
        </is>
      </c>
      <c r="B1219" t="inlineStr">
        <is>
          <t>Saktaphat Kordjan</t>
        </is>
      </c>
      <c r="C1219" s="2">
        <v>45877</v>
      </c>
      <c r="D1219" s="2"/>
      <c r="E1219" t="inlineStr">
        <is>
          <t>ปกติ</t>
        </is>
      </c>
      <c r="F1219" s="3"/>
      <c r="G1219"/>
      <c r="H1219" t="inlineStr">
        <is>
          <t>Website</t>
        </is>
      </c>
      <c r="I1219" t="inlineStr">
        <is>
          <t>งานประจำวัน</t>
        </is>
      </c>
      <c r="J1219" t="inlineStr">
        <is>
          <t>Done</t>
        </is>
      </c>
      <c r="K1219"/>
      <c r="L1219" s="3"/>
      <c r="M1219" t="inlineStr">
        <is>
          <t>1</t>
        </is>
      </c>
      <c r="N1219" t="inlineStr">
        <is>
          <t>ทั่วไป, Tech</t>
        </is>
      </c>
      <c r="O1219"/>
    </row>
    <row r="1220" ht="12.75" customHeight="1">
      <c r="A1220" t="inlineStr">
        <is>
          <t>OnePlus 15 อาจเปลี่ยนแปลงดีไซน์ครั้งใหญ่</t>
        </is>
      </c>
      <c r="B1220" t="inlineStr">
        <is>
          <t>Saktaphat Kordjan</t>
        </is>
      </c>
      <c r="C1220" s="2">
        <v>45876</v>
      </c>
      <c r="D1220" s="2"/>
      <c r="E1220" t="inlineStr">
        <is>
          <t>ปกติ</t>
        </is>
      </c>
      <c r="F1220" s="3"/>
      <c r="G1220"/>
      <c r="H1220" t="inlineStr">
        <is>
          <t>Website</t>
        </is>
      </c>
      <c r="I1220" t="inlineStr">
        <is>
          <t>งานประจำวัน</t>
        </is>
      </c>
      <c r="J1220" t="inlineStr">
        <is>
          <t>Done</t>
        </is>
      </c>
      <c r="K1220"/>
      <c r="L1220" s="3"/>
      <c r="M1220" t="inlineStr">
        <is>
          <t>1</t>
        </is>
      </c>
      <c r="N1220" t="inlineStr">
        <is>
          <t>Android</t>
        </is>
      </c>
      <c r="O1220"/>
    </row>
    <row r="1221" ht="12.75" customHeight="1">
      <c r="A1221" t="inlineStr">
        <is>
          <t>สรุปข่าวไอทีอัปเดต 7 สิงหาคม 2025</t>
        </is>
      </c>
      <c r="B1221" t="inlineStr">
        <is>
          <t>Saktaphat Kordjan</t>
        </is>
      </c>
      <c r="C1221" s="2">
        <v>45876</v>
      </c>
      <c r="D1221" s="2"/>
      <c r="E1221" t="inlineStr">
        <is>
          <t>ปกติ</t>
        </is>
      </c>
      <c r="F1221" s="3"/>
      <c r="G1221"/>
      <c r="H1221" t="inlineStr">
        <is>
          <t>YouTube</t>
        </is>
      </c>
      <c r="I1221" t="inlineStr">
        <is>
          <t>งานประจำวัน</t>
        </is>
      </c>
      <c r="J1221" t="inlineStr">
        <is>
          <t>Done</t>
        </is>
      </c>
      <c r="K1221"/>
      <c r="L1221" s="3"/>
      <c r="M1221" t="inlineStr">
        <is>
          <t>1</t>
        </is>
      </c>
      <c r="N1221" t="inlineStr">
        <is>
          <t>Tech, Android</t>
        </is>
      </c>
      <c r="O1221"/>
    </row>
    <row r="1222" ht="12.75" customHeight="1">
      <c r="A1222" t="inlineStr">
        <is>
          <t>Instagram เปิดตัวฟีเจอร์ Reposts และ Map อย่างเป็นทางการ</t>
        </is>
      </c>
      <c r="B1222" t="inlineStr">
        <is>
          <t>Sasithakan Sritonthip</t>
        </is>
      </c>
      <c r="C1222" s="2">
        <v>45876</v>
      </c>
      <c r="D1222" s="2"/>
      <c r="E1222" t="inlineStr">
        <is>
          <t>ปกติ</t>
        </is>
      </c>
      <c r="F1222" s="3" t="str">
        <f>=HYPERLINK("https://about.instagram.com/blog/announcements/instagram-new-features-connect-friends/", "https://about.instagram.com/blog/announcements/instagram-new-features-connect-friends/")</f>
        <v>https://about.instagram.com/blog/announcements/instagram-new-features-connect-friends/</v>
      </c>
      <c r="G1222"/>
      <c r="H1222" t="inlineStr">
        <is>
          <t>Website</t>
        </is>
      </c>
      <c r="I1222" t="inlineStr">
        <is>
          <t>งานประจำวัน</t>
        </is>
      </c>
      <c r="J1222" t="inlineStr">
        <is>
          <t>Done</t>
        </is>
      </c>
      <c r="K1222"/>
      <c r="L1222" s="3"/>
      <c r="M1222" t="inlineStr">
        <is>
          <t>1</t>
        </is>
      </c>
      <c r="N1222" t="inlineStr">
        <is>
          <t>Tech</t>
        </is>
      </c>
      <c r="O1222"/>
    </row>
    <row r="1223" ht="12.75" customHeight="1">
      <c r="A1223" t="inlineStr">
        <is>
          <t>Google เปิดตัว Guided Learning ใน Gemini</t>
        </is>
      </c>
      <c r="B1223" t="inlineStr">
        <is>
          <t>Sasithakan Sritonthip</t>
        </is>
      </c>
      <c r="C1223" s="2">
        <v>45876</v>
      </c>
      <c r="D1223" s="2"/>
      <c r="E1223" t="inlineStr">
        <is>
          <t>ปกติ</t>
        </is>
      </c>
      <c r="F1223" s="3" t="str">
        <f>=HYPERLINK("https://blog.google/outreach-initiatives/education/guided-learning/", "https://blog.google/outreach-initiatives/education/guided-learning/")</f>
        <v>https://blog.google/outreach-initiatives/education/guided-learning/</v>
      </c>
      <c r="G1223"/>
      <c r="H1223" t="inlineStr">
        <is>
          <t>Website</t>
        </is>
      </c>
      <c r="I1223" t="inlineStr">
        <is>
          <t>งานประจำวัน</t>
        </is>
      </c>
      <c r="J1223" t="inlineStr">
        <is>
          <t>Done</t>
        </is>
      </c>
      <c r="K1223"/>
      <c r="L1223" s="3"/>
      <c r="M1223" t="inlineStr">
        <is>
          <t>1</t>
        </is>
      </c>
      <c r="N1223" t="inlineStr">
        <is>
          <t>Tech</t>
        </is>
      </c>
      <c r="O1223"/>
    </row>
    <row r="1224" ht="12.75" customHeight="1">
      <c r="A1224" t="inlineStr">
        <is>
          <t>Poco M7 Plus เตรียมเปิดตัวในอินเดีย 13 ส.ค. นี้</t>
        </is>
      </c>
      <c r="B1224" t="inlineStr">
        <is>
          <t>Saktaphat Kordjan</t>
        </is>
      </c>
      <c r="C1224" s="2">
        <v>45876</v>
      </c>
      <c r="D1224" s="2"/>
      <c r="E1224" t="inlineStr">
        <is>
          <t>ปกติ</t>
        </is>
      </c>
      <c r="F1224" s="3"/>
      <c r="G1224"/>
      <c r="H1224" t="inlineStr">
        <is>
          <t>Website</t>
        </is>
      </c>
      <c r="I1224" t="inlineStr">
        <is>
          <t>งานประจำวัน</t>
        </is>
      </c>
      <c r="J1224" t="inlineStr">
        <is>
          <t>Done</t>
        </is>
      </c>
      <c r="K1224"/>
      <c r="L1224" s="3"/>
      <c r="M1224" t="inlineStr">
        <is>
          <t>1</t>
        </is>
      </c>
      <c r="N1224" t="inlineStr">
        <is>
          <t>Android</t>
        </is>
      </c>
      <c r="O1224"/>
    </row>
    <row r="1225" ht="12.75" customHeight="1">
      <c r="A1225" t="inlineStr">
        <is>
          <t xml:space="preserve">เทียบสเปคจอพับ 3 แบรนด์ </t>
        </is>
      </c>
      <c r="B1225" t="inlineStr">
        <is>
          <t>Saktaphat Kordjan</t>
        </is>
      </c>
      <c r="C1225" s="2">
        <v>45876</v>
      </c>
      <c r="D1225" s="2"/>
      <c r="E1225" t="inlineStr">
        <is>
          <t>ปกติ</t>
        </is>
      </c>
      <c r="F1225" s="3"/>
      <c r="G1225"/>
      <c r="H1225" t="inlineStr">
        <is>
          <t>Pic Posts / Album</t>
        </is>
      </c>
      <c r="I1225" t="inlineStr">
        <is>
          <t>เสนอไอเดีย</t>
        </is>
      </c>
      <c r="J1225" t="inlineStr">
        <is>
          <t>Done</t>
        </is>
      </c>
      <c r="K1225"/>
      <c r="L1225" s="3"/>
      <c r="M1225" t="inlineStr">
        <is>
          <t>1</t>
        </is>
      </c>
      <c r="N1225" t="inlineStr">
        <is>
          <t>Android</t>
        </is>
      </c>
      <c r="O1225"/>
    </row>
    <row r="1226" ht="12.75" customHeight="1">
      <c r="A1226" t="inlineStr">
        <is>
          <t>Google เตรียมเพิ่มตัวเลือก เปิด-ปิด Auto Zoom ใน YouTube</t>
        </is>
      </c>
      <c r="B1226" t="inlineStr">
        <is>
          <t>Saktaphat Kordjan</t>
        </is>
      </c>
      <c r="C1226" s="2">
        <v>45876</v>
      </c>
      <c r="D1226" s="2"/>
      <c r="E1226" t="inlineStr">
        <is>
          <t>ปกติ</t>
        </is>
      </c>
      <c r="F1226" s="3"/>
      <c r="G1226"/>
      <c r="H1226" t="inlineStr">
        <is>
          <t>Website</t>
        </is>
      </c>
      <c r="I1226" t="inlineStr">
        <is>
          <t>งานประจำวัน</t>
        </is>
      </c>
      <c r="J1226" t="inlineStr">
        <is>
          <t>Done</t>
        </is>
      </c>
      <c r="K1226"/>
      <c r="L1226" s="3"/>
      <c r="M1226" t="inlineStr">
        <is>
          <t>1</t>
        </is>
      </c>
      <c r="N1226" t="inlineStr">
        <is>
          <t>Android, ทั่วไป</t>
        </is>
      </c>
      <c r="O1226"/>
    </row>
    <row r="1227" ht="12.75" customHeight="1">
      <c r="A1227" t="inlineStr">
        <is>
          <t>IG Repost และ Instagram Map</t>
        </is>
      </c>
      <c r="B1227" t="inlineStr">
        <is>
          <t>Nattida Suriyodara</t>
        </is>
      </c>
      <c r="C1227" s="2">
        <v>45876</v>
      </c>
      <c r="D1227" s="2"/>
      <c r="E1227" t="inlineStr">
        <is>
          <t>ปกติ</t>
        </is>
      </c>
      <c r="F1227" s="3"/>
      <c r="G1227"/>
      <c r="H1227" t="inlineStr">
        <is>
          <t>Shorts</t>
        </is>
      </c>
      <c r="I1227" t="inlineStr">
        <is>
          <t>งานประจำวัน</t>
        </is>
      </c>
      <c r="J1227" t="inlineStr">
        <is>
          <t>Done</t>
        </is>
      </c>
      <c r="K1227"/>
      <c r="L1227" s="3"/>
      <c r="M1227" t="inlineStr">
        <is>
          <t>1</t>
        </is>
      </c>
      <c r="N1227" t="inlineStr">
        <is>
          <t>ทั่วไป</t>
        </is>
      </c>
      <c r="O1227"/>
    </row>
    <row r="1228" ht="12.75" customHeight="1">
      <c r="A1228" t="inlineStr">
        <is>
          <t xml:space="preserve">Gemini guided learning </t>
        </is>
      </c>
      <c r="B1228" t="inlineStr">
        <is>
          <t>Nattida Suriyodara,Sasithakan Sritonthip</t>
        </is>
      </c>
      <c r="C1228" s="2">
        <v>45876</v>
      </c>
      <c r="D1228" s="2"/>
      <c r="E1228" t="inlineStr">
        <is>
          <t>ปกติ</t>
        </is>
      </c>
      <c r="F1228" s="3"/>
      <c r="G1228"/>
      <c r="H1228" t="inlineStr">
        <is>
          <t>Shorts</t>
        </is>
      </c>
      <c r="I1228" t="inlineStr">
        <is>
          <t>งานประจำวัน</t>
        </is>
      </c>
      <c r="J1228" t="inlineStr">
        <is>
          <t>Done</t>
        </is>
      </c>
      <c r="K1228"/>
      <c r="L1228" s="3"/>
      <c r="M1228" t="inlineStr">
        <is>
          <t>1</t>
        </is>
      </c>
      <c r="N1228" t="inlineStr">
        <is>
          <t>AI</t>
        </is>
      </c>
      <c r="O1228"/>
    </row>
    <row r="1229" ht="12.75" customHeight="1">
      <c r="A1229" t="inlineStr">
        <is>
          <t>Google Gemini สามารถสร้างนิทานก่อนนอนได้แล้ว</t>
        </is>
      </c>
      <c r="B1229" t="inlineStr">
        <is>
          <t>Nattida Suriyodara</t>
        </is>
      </c>
      <c r="C1229" s="2">
        <v>45875</v>
      </c>
      <c r="D1229" s="2"/>
      <c r="E1229" t="inlineStr">
        <is>
          <t>ปกติ</t>
        </is>
      </c>
      <c r="F1229" s="3" t="str">
        <f>=HYPERLINK("https://www.theverge.com/news/719184/google-gemini-ai-storybook-bedtime-stories", "https://www.theverge.com/news/719184/google-gemini-ai-storybook-bedtime-stories")</f>
        <v>https://www.theverge.com/news/719184/google-gemini-ai-storybook-bedtime-stories</v>
      </c>
      <c r="G1229"/>
      <c r="H1229" t="inlineStr">
        <is>
          <t>Website</t>
        </is>
      </c>
      <c r="I1229" t="inlineStr">
        <is>
          <t>งานประจำวัน</t>
        </is>
      </c>
      <c r="J1229" t="inlineStr">
        <is>
          <t>Done</t>
        </is>
      </c>
      <c r="K1229"/>
      <c r="L1229" s="3"/>
      <c r="M1229" t="inlineStr">
        <is>
          <t>1</t>
        </is>
      </c>
      <c r="N1229" t="inlineStr">
        <is>
          <t>AI</t>
        </is>
      </c>
      <c r="O1229"/>
    </row>
    <row r="1230" ht="12.75" customHeight="1">
      <c r="A1230" t="inlineStr">
        <is>
          <t xml:space="preserve"> Apple Watch (Sleep Apnea)</t>
        </is>
      </c>
      <c r="B1230" t="inlineStr">
        <is>
          <t>Nattida Suriyodara,Sasithakan Sritonthip</t>
        </is>
      </c>
      <c r="C1230" s="2">
        <v>45875</v>
      </c>
      <c r="D1230" s="2"/>
      <c r="E1230" t="inlineStr">
        <is>
          <t>ปกติ</t>
        </is>
      </c>
      <c r="F1230" s="3" t="str">
        <f>=HYPERLINK("https://www.youtube.com/watch?v=cpjspzM71-A", "https://www.youtube.com/watch?v=cpjspzM71-A")</f>
        <v>https://www.youtube.com/watch?v=cpjspzM71-A</v>
      </c>
      <c r="G1230"/>
      <c r="H1230" t="inlineStr">
        <is>
          <t>Shorts</t>
        </is>
      </c>
      <c r="I1230" t="inlineStr">
        <is>
          <t>งานประจำวัน</t>
        </is>
      </c>
      <c r="J1230" t="inlineStr">
        <is>
          <t>Done</t>
        </is>
      </c>
      <c r="K1230"/>
      <c r="L1230" s="3"/>
      <c r="M1230" t="inlineStr">
        <is>
          <t>1</t>
        </is>
      </c>
      <c r="N1230" t="inlineStr">
        <is>
          <t>Apple</t>
        </is>
      </c>
      <c r="O1230"/>
    </row>
    <row r="1231" ht="12.75" customHeight="1">
      <c r="A1231" t="inlineStr">
        <is>
          <t>Apple เปลี่ยนไอคอน Mac บน macOS 26 Tahoe</t>
        </is>
      </c>
      <c r="B1231" t="inlineStr">
        <is>
          <t>Sasithakan Sritonthip</t>
        </is>
      </c>
      <c r="C1231" s="2">
        <v>45875</v>
      </c>
      <c r="D1231" s="2"/>
      <c r="E1231" t="inlineStr">
        <is>
          <t>ปกติ</t>
        </is>
      </c>
      <c r="F1231" s="3" t="str">
        <f>=HYPERLINK("https://arstechnica.com/gadgets/2025/08/rip-to-the-macintosh-hd-hard-drive-icon-2000-2025/", "https://arstechnica.com/gadgets/2025/08/rip-to-the-macintosh-hd-hard-drive-icon-2000-2025/")</f>
        <v>https://arstechnica.com/gadgets/2025/08/rip-to-the-macintosh-hd-hard-drive-icon-2000-2025/</v>
      </c>
      <c r="G1231"/>
      <c r="H1231" t="inlineStr">
        <is>
          <t>Website</t>
        </is>
      </c>
      <c r="I1231" t="inlineStr">
        <is>
          <t>งานประจำวัน</t>
        </is>
      </c>
      <c r="J1231" t="inlineStr">
        <is>
          <t>Done</t>
        </is>
      </c>
      <c r="K1231"/>
      <c r="L1231" s="3"/>
      <c r="M1231" t="inlineStr">
        <is>
          <t>1</t>
        </is>
      </c>
      <c r="N1231" t="inlineStr">
        <is>
          <t>Apple</t>
        </is>
      </c>
      <c r="O1231"/>
    </row>
    <row r="1232" ht="12.75" customHeight="1">
      <c r="A1232" t="inlineStr">
        <is>
          <t>Genie 3 ของ DeepMind โมเดลโลกจำลอง AI</t>
        </is>
      </c>
      <c r="B1232" t="inlineStr">
        <is>
          <t>Sasithakan Sritonthip</t>
        </is>
      </c>
      <c r="C1232" s="2">
        <v>45875</v>
      </c>
      <c r="D1232" s="2"/>
      <c r="E1232" t="inlineStr">
        <is>
          <t>ปกติ</t>
        </is>
      </c>
      <c r="F1232" s="3" t="str">
        <f>=HYPERLINK("https://deepmind.google/discover/blog/genie-3-a-new-frontier-for-world-models/", "https://deepmind.google/discover/blog/genie-3-a-new-frontier-for-world-models/")</f>
        <v>https://deepmind.google/discover/blog/genie-3-a-new-frontier-for-world-models/</v>
      </c>
      <c r="G1232"/>
      <c r="H1232" t="inlineStr">
        <is>
          <t>Website</t>
        </is>
      </c>
      <c r="I1232" t="inlineStr">
        <is>
          <t>งานประจำวัน</t>
        </is>
      </c>
      <c r="J1232" t="inlineStr">
        <is>
          <t>Done</t>
        </is>
      </c>
      <c r="K1232"/>
      <c r="L1232" s="3"/>
      <c r="M1232" t="inlineStr">
        <is>
          <t>1</t>
        </is>
      </c>
      <c r="N1232" t="inlineStr">
        <is>
          <t>AI</t>
        </is>
      </c>
      <c r="O1232"/>
    </row>
    <row r="1233" ht="12.75" customHeight="1">
      <c r="A1233" t="inlineStr">
        <is>
          <t>OpenAI ปล่อยโมเดลใหม่สู้ AI จีน</t>
        </is>
      </c>
      <c r="B1233" t="inlineStr">
        <is>
          <t>Nattida Suriyodara</t>
        </is>
      </c>
      <c r="C1233" s="2">
        <v>45875</v>
      </c>
      <c r="D1233" s="2"/>
      <c r="E1233" t="inlineStr">
        <is>
          <t>ปกติ</t>
        </is>
      </c>
      <c r="F1233" s="3"/>
      <c r="G1233"/>
      <c r="H1233" t="inlineStr">
        <is>
          <t>Website</t>
        </is>
      </c>
      <c r="I1233" t="inlineStr">
        <is>
          <t>งานประจำวัน</t>
        </is>
      </c>
      <c r="J1233" t="inlineStr">
        <is>
          <t>Done</t>
        </is>
      </c>
      <c r="K1233"/>
      <c r="L1233" s="3"/>
      <c r="M1233" t="inlineStr">
        <is>
          <t>1</t>
        </is>
      </c>
      <c r="N1233" t="inlineStr">
        <is>
          <t>AI</t>
        </is>
      </c>
      <c r="O1233"/>
    </row>
    <row r="1234" ht="12.75" customHeight="1">
      <c r="A1234" t="inlineStr">
        <is>
          <t>Tim Cook ดำรงตำแหน่ง CEO ของ Apple นานกว่า Steve Jobs
</t>
        </is>
      </c>
      <c r="B1234" t="inlineStr">
        <is>
          <t>Thitirath Kinaret</t>
        </is>
      </c>
      <c r="C1234" s="2">
        <v>45874</v>
      </c>
      <c r="D1234" s="2"/>
      <c r="E1234" t="inlineStr">
        <is>
          <t>ปกติ</t>
        </is>
      </c>
      <c r="F1234" s="3" t="str">
        <f>=HYPERLINK("https://www.iphonemod.net/tim-cook-has-now-been-apples-ceo-for-longer-than-steve-jobs.html", "https://www.iphonemod.net/tim-cook-has-now-been-apples-ceo-for-longer-than-steve-jobs.html")</f>
        <v>https://www.iphonemod.net/tim-cook-has-now-been-apples-ceo-for-longer-than-steve-jobs.html</v>
      </c>
      <c r="G1234"/>
      <c r="H1234" t="inlineStr">
        <is>
          <t>Pic Posts / Album, Website</t>
        </is>
      </c>
      <c r="I1234" t="inlineStr">
        <is>
          <t>งานประจำวัน</t>
        </is>
      </c>
      <c r="J1234" t="inlineStr">
        <is>
          <t>Done</t>
        </is>
      </c>
      <c r="K1234"/>
      <c r="L1234" s="3"/>
      <c r="M1234" t="inlineStr">
        <is>
          <t>1</t>
        </is>
      </c>
      <c r="N1234" t="inlineStr">
        <is>
          <t>Apple</t>
        </is>
      </c>
      <c r="O1234"/>
    </row>
    <row r="1235" ht="12.75" customHeight="1">
      <c r="A1235" t="inlineStr">
        <is>
          <t>หลุดภาพ! แบตเตอรี่ iPhone 17 Air บางพิเศษเพียง 2.49 มม.
</t>
        </is>
      </c>
      <c r="B1235" t="inlineStr">
        <is>
          <t>Thitirath Kinaret</t>
        </is>
      </c>
      <c r="C1235" s="2">
        <v>45874</v>
      </c>
      <c r="D1235" s="2"/>
      <c r="E1235" t="inlineStr">
        <is>
          <t>ปกติ</t>
        </is>
      </c>
      <c r="F1235" s="3" t="str">
        <f>=HYPERLINK("https://www.iphonemod.net/iphone-17-air-battery-allegedly-2-49mm.html", "https://www.iphonemod.net/iphone-17-air-battery-allegedly-2-49mm.html")</f>
        <v>https://www.iphonemod.net/iphone-17-air-battery-allegedly-2-49mm.html</v>
      </c>
      <c r="G1235"/>
      <c r="H1235" t="inlineStr">
        <is>
          <t>Website, Pic Posts / Album</t>
        </is>
      </c>
      <c r="I1235" t="inlineStr">
        <is>
          <t>งานประจำวัน</t>
        </is>
      </c>
      <c r="J1235" t="inlineStr">
        <is>
          <t>Done</t>
        </is>
      </c>
      <c r="K1235"/>
      <c r="L1235" s="3"/>
      <c r="M1235" t="inlineStr">
        <is>
          <t>1</t>
        </is>
      </c>
      <c r="N1235" t="inlineStr">
        <is>
          <t>Apple</t>
        </is>
      </c>
      <c r="O1235"/>
    </row>
    <row r="1236" ht="12.75" customHeight="1">
      <c r="A1236" t="inlineStr">
        <is>
          <t>Google ปล่อยทีเซอร์ Pixel 10 'Soon' แซว Apple</t>
        </is>
      </c>
      <c r="B1236" t="inlineStr">
        <is>
          <t>Saktaphat Kordjan</t>
        </is>
      </c>
      <c r="C1236" s="2">
        <v>45874</v>
      </c>
      <c r="D1236" s="2"/>
      <c r="E1236" t="inlineStr">
        <is>
          <t>ปกติ</t>
        </is>
      </c>
      <c r="F1236" s="3"/>
      <c r="G1236"/>
      <c r="H1236" t="inlineStr">
        <is>
          <t>Website</t>
        </is>
      </c>
      <c r="I1236" t="inlineStr">
        <is>
          <t>งานประจำวัน</t>
        </is>
      </c>
      <c r="J1236" t="inlineStr">
        <is>
          <t>Done</t>
        </is>
      </c>
      <c r="K1236"/>
      <c r="L1236" s="3"/>
      <c r="M1236" t="inlineStr">
        <is>
          <t>1</t>
        </is>
      </c>
      <c r="N1236" t="inlineStr">
        <is>
          <t>Android</t>
        </is>
      </c>
      <c r="O1236"/>
    </row>
    <row r="1237" ht="12.75" customHeight="1">
      <c r="A1237" t="inlineStr">
        <is>
          <t>Battlefield 6 Open Beta เปิดให้ดาวน์โหลดล่วงหน้าแล้ว</t>
        </is>
      </c>
      <c r="B1237" t="inlineStr">
        <is>
          <t>Saktaphat Kordjan</t>
        </is>
      </c>
      <c r="C1237" s="2">
        <v>45874</v>
      </c>
      <c r="D1237" s="2"/>
      <c r="E1237" t="inlineStr">
        <is>
          <t>ปกติ</t>
        </is>
      </c>
      <c r="F1237" s="3"/>
      <c r="G1237"/>
      <c r="H1237" t="inlineStr">
        <is>
          <t>Website</t>
        </is>
      </c>
      <c r="I1237" t="inlineStr">
        <is>
          <t>งานประจำวัน</t>
        </is>
      </c>
      <c r="J1237" t="inlineStr">
        <is>
          <t>Done</t>
        </is>
      </c>
      <c r="K1237"/>
      <c r="L1237" s="3"/>
      <c r="M1237" t="inlineStr">
        <is>
          <t>1</t>
        </is>
      </c>
      <c r="N1237" t="inlineStr">
        <is>
          <t>ทั่วไป</t>
        </is>
      </c>
      <c r="O1237"/>
    </row>
    <row r="1238" ht="12.75" customHeight="1">
      <c r="A1238" t="inlineStr">
        <is>
          <t>Google ลงนาม ข้อตกลง ที่จะลดใช้ไฟฟ้าของ AI Data Center ในสหรัฐ ฯ</t>
        </is>
      </c>
      <c r="B1238" t="inlineStr">
        <is>
          <t>Sasithakan Sritonthip</t>
        </is>
      </c>
      <c r="C1238" s="2">
        <v>45874</v>
      </c>
      <c r="D1238" s="2"/>
      <c r="E1238" t="inlineStr">
        <is>
          <t>ปกติ</t>
        </is>
      </c>
      <c r="F1238" s="3" t="str">
        <f>=HYPERLINK("https://www.macrumors.com/2025/08/04/chatgpt-mental-health-features/", "https://www.macrumors.com/2025/08/04/chatgpt-mental-health-features/")</f>
        <v>https://www.macrumors.com/2025/08/04/chatgpt-mental-health-features/</v>
      </c>
      <c r="G1238"/>
      <c r="H1238" t="inlineStr">
        <is>
          <t>Website</t>
        </is>
      </c>
      <c r="I1238" t="inlineStr">
        <is>
          <t>งานประจำวัน</t>
        </is>
      </c>
      <c r="J1238" t="inlineStr">
        <is>
          <t>Done</t>
        </is>
      </c>
      <c r="K1238"/>
      <c r="L1238" s="3"/>
      <c r="M1238" t="inlineStr">
        <is>
          <t>1</t>
        </is>
      </c>
      <c r="N1238" t="inlineStr">
        <is>
          <t>Tech</t>
        </is>
      </c>
      <c r="O1238"/>
    </row>
    <row r="1239" ht="12.75" customHeight="1">
      <c r="A1239" t="inlineStr">
        <is>
          <t>OpenAI  ฟีเจอร์แจ้งเตือนให้พักการใช้งาน</t>
        </is>
      </c>
      <c r="B1239" t="inlineStr">
        <is>
          <t>Sasithakan Sritonthip</t>
        </is>
      </c>
      <c r="C1239" s="2">
        <v>45874</v>
      </c>
      <c r="D1239" s="2"/>
      <c r="E1239" t="inlineStr">
        <is>
          <t>ปกติ</t>
        </is>
      </c>
      <c r="F1239" s="3" t="str">
        <f>=HYPERLINK("https://www.macrumors.com/2025/08/04/chatgpt-mental-health-features/", "https://www.macrumors.com/2025/08/04/chatgpt-mental-health-features/")</f>
        <v>https://www.macrumors.com/2025/08/04/chatgpt-mental-health-features/</v>
      </c>
      <c r="G1239"/>
      <c r="H1239" t="inlineStr">
        <is>
          <t>Website</t>
        </is>
      </c>
      <c r="I1239" t="inlineStr">
        <is>
          <t>งานประจำวัน</t>
        </is>
      </c>
      <c r="J1239" t="inlineStr">
        <is>
          <t>Done</t>
        </is>
      </c>
      <c r="K1239"/>
      <c r="L1239" s="3"/>
      <c r="M1239" t="inlineStr">
        <is>
          <t>1</t>
        </is>
      </c>
      <c r="N1239" t="inlineStr">
        <is>
          <t>Tech</t>
        </is>
      </c>
      <c r="O1239"/>
    </row>
    <row r="1240" ht="12.75" customHeight="1">
      <c r="A1240" t="inlineStr">
        <is>
          <t>Gemini 2.5 Deep Think Is Google’s Most Advanced AI Model to Date</t>
        </is>
      </c>
      <c r="B1240" t="inlineStr">
        <is>
          <t>Nattida Suriyodara</t>
        </is>
      </c>
      <c r="C1240" s="2">
        <v>45874</v>
      </c>
      <c r="D1240" s="2"/>
      <c r="E1240" t="inlineStr">
        <is>
          <t>ปกติ</t>
        </is>
      </c>
      <c r="F1240" s="3" t="str">
        <f>=HYPERLINK("https://www.techrepublic.com/article/news-deep-think-ai-research-variant-launch/", "https://www.techrepublic.com/article/news-deep-think-ai-research-variant-launch/")</f>
        <v>https://www.techrepublic.com/article/news-deep-think-ai-research-variant-launch/</v>
      </c>
      <c r="G1240"/>
      <c r="H1240" t="inlineStr">
        <is>
          <t>Website</t>
        </is>
      </c>
      <c r="I1240" t="inlineStr">
        <is>
          <t>งานประจำวัน</t>
        </is>
      </c>
      <c r="J1240" t="inlineStr">
        <is>
          <t>Done</t>
        </is>
      </c>
      <c r="K1240"/>
      <c r="L1240" s="3"/>
      <c r="M1240" t="inlineStr">
        <is>
          <t>1</t>
        </is>
      </c>
      <c r="N1240" t="inlineStr">
        <is>
          <t>AI</t>
        </is>
      </c>
      <c r="O1240"/>
    </row>
    <row r="1241" ht="12.75" customHeight="1">
      <c r="A1241" t="inlineStr">
        <is>
          <t>เปิดคำสั่งนับถอยหลังตอนล้างมือ บน Apple Watch</t>
        </is>
      </c>
      <c r="B1241" t="inlineStr">
        <is>
          <t>Nattida Suriyodara,Sasithakan Sritonthip</t>
        </is>
      </c>
      <c r="C1241" s="2">
        <v>45874</v>
      </c>
      <c r="D1241" s="2"/>
      <c r="E1241" t="inlineStr">
        <is>
          <t>ปกติ</t>
        </is>
      </c>
      <c r="F1241" s="3"/>
      <c r="G1241"/>
      <c r="H1241" t="inlineStr">
        <is>
          <t>Shorts</t>
        </is>
      </c>
      <c r="I1241" t="inlineStr">
        <is>
          <t>เสนอไอเดีย</t>
        </is>
      </c>
      <c r="J1241" t="inlineStr">
        <is>
          <t>Done</t>
        </is>
      </c>
      <c r="K1241"/>
      <c r="L1241" s="3"/>
      <c r="M1241" t="inlineStr">
        <is>
          <t>1</t>
        </is>
      </c>
      <c r="N1241" t="inlineStr">
        <is>
          <t>Apple</t>
        </is>
      </c>
      <c r="O1241"/>
    </row>
    <row r="1242" ht="12.75" customHeight="1">
      <c r="A1242" t="inlineStr">
        <is>
          <t>อดีตผู้บริหาร Google เตือน! AI จะทำลายงานออฟฟิศ</t>
        </is>
      </c>
      <c r="B1242" t="inlineStr">
        <is>
          <t>Nattida Suriyodara</t>
        </is>
      </c>
      <c r="C1242" s="2">
        <v>45874</v>
      </c>
      <c r="D1242" s="2"/>
      <c r="E1242" t="inlineStr">
        <is>
          <t>ปกติ</t>
        </is>
      </c>
      <c r="F1242" s="3" t="str">
        <f>=HYPERLINK("https://nypost.com/2025/08/04/business/ex-google-execs-shocking-warns-ai-will-create-15-years-of-hell/", "https://nypost.com/2025/08/04/business/ex-google-execs-shocking-warns-ai-will-create-15-years-of-hell/")</f>
        <v>https://nypost.com/2025/08/04/business/ex-google-execs-shocking-warns-ai-will-create-15-years-of-hell/</v>
      </c>
      <c r="G1242"/>
      <c r="H1242" t="inlineStr">
        <is>
          <t>Website</t>
        </is>
      </c>
      <c r="I1242" t="inlineStr">
        <is>
          <t>งานประจำวัน</t>
        </is>
      </c>
      <c r="J1242" t="inlineStr">
        <is>
          <t>Done</t>
        </is>
      </c>
      <c r="K1242"/>
      <c r="L1242" s="3"/>
      <c r="M1242" t="inlineStr">
        <is>
          <t>1</t>
        </is>
      </c>
      <c r="N1242" t="inlineStr">
        <is>
          <t>AI</t>
        </is>
      </c>
      <c r="O1242"/>
    </row>
    <row r="1243" ht="12.75" customHeight="1">
      <c r="A1243" t="inlineStr">
        <is>
          <t>Galaxy S26 Ultra เตรียมปรับปรุงการถ่ายภาพในที่แสงน้อย</t>
        </is>
      </c>
      <c r="B1243" t="inlineStr">
        <is>
          <t>Saktaphat Kordjan</t>
        </is>
      </c>
      <c r="C1243" s="2">
        <v>45874</v>
      </c>
      <c r="D1243" s="2"/>
      <c r="E1243" t="inlineStr">
        <is>
          <t>ปกติ</t>
        </is>
      </c>
      <c r="F1243" s="3"/>
      <c r="G1243"/>
      <c r="H1243" t="inlineStr">
        <is>
          <t>Website</t>
        </is>
      </c>
      <c r="I1243" t="inlineStr">
        <is>
          <t>งานประจำวัน</t>
        </is>
      </c>
      <c r="J1243" t="inlineStr">
        <is>
          <t>Done</t>
        </is>
      </c>
      <c r="K1243"/>
      <c r="L1243" s="3"/>
      <c r="M1243" t="inlineStr">
        <is>
          <t>1</t>
        </is>
      </c>
      <c r="N1243" t="inlineStr">
        <is>
          <t>Android</t>
        </is>
      </c>
      <c r="O1243"/>
    </row>
    <row r="1244" ht="12.75" customHeight="1">
      <c r="A1244" t="inlineStr">
        <is>
          <t>เช็คภาวะหยุดหายใจขณะนอนหลับด้วย Apple Watch (Sleep Apnea)</t>
        </is>
      </c>
      <c r="B1244" t="inlineStr">
        <is>
          <t>Nattida Suriyodara</t>
        </is>
      </c>
      <c r="C1244" s="2">
        <v>45873</v>
      </c>
      <c r="D1244" s="2"/>
      <c r="E1244" t="inlineStr">
        <is>
          <t>ปกติ</t>
        </is>
      </c>
      <c r="F1244" s="3"/>
      <c r="G1244"/>
      <c r="H1244" t="inlineStr">
        <is>
          <t>YouTube</t>
        </is>
      </c>
      <c r="I1244" t="inlineStr">
        <is>
          <t>งานประจำวัน</t>
        </is>
      </c>
      <c r="J1244" t="inlineStr">
        <is>
          <t>Done</t>
        </is>
      </c>
      <c r="K1244"/>
      <c r="L1244" s="3"/>
      <c r="M1244" t="inlineStr">
        <is>
          <t>1</t>
        </is>
      </c>
      <c r="N1244" t="inlineStr">
        <is>
          <t>Apple</t>
        </is>
      </c>
      <c r="O1244"/>
    </row>
    <row r="1245" ht="12.75" customHeight="1">
      <c r="A1245" t="inlineStr">
        <is>
          <t xml:space="preserve">Strava + Share on IG + Apple Watch </t>
        </is>
      </c>
      <c r="B1245" t="inlineStr">
        <is>
          <t>Nattida Suriyodara,Sasithakan Sritonthip</t>
        </is>
      </c>
      <c r="C1245" s="2">
        <v>45873</v>
      </c>
      <c r="D1245" s="2"/>
      <c r="E1245" t="inlineStr">
        <is>
          <t>ปกติ</t>
        </is>
      </c>
      <c r="F1245" s="3"/>
      <c r="G1245"/>
      <c r="H1245" t="inlineStr">
        <is>
          <t>Shorts</t>
        </is>
      </c>
      <c r="I1245" t="inlineStr">
        <is>
          <t>งานประจำวัน</t>
        </is>
      </c>
      <c r="J1245" t="inlineStr">
        <is>
          <t>Done</t>
        </is>
      </c>
      <c r="K1245"/>
      <c r="L1245" s="3"/>
      <c r="M1245" t="inlineStr">
        <is>
          <t>1</t>
        </is>
      </c>
      <c r="N1245" t="inlineStr">
        <is>
          <t>ทั่วไป, Apple</t>
        </is>
      </c>
      <c r="O1245"/>
    </row>
    <row r="1246" ht="12.75" customHeight="1">
      <c r="A1246" t="inlineStr">
        <is>
          <t xml:space="preserve">Vheer เว็บรวมเครื่องมือ AI รูปภาพ </t>
        </is>
      </c>
      <c r="B1246" t="inlineStr">
        <is>
          <t>Nattida Suriyodara</t>
        </is>
      </c>
      <c r="C1246" s="2">
        <v>45873</v>
      </c>
      <c r="D1246" s="2"/>
      <c r="E1246" t="inlineStr">
        <is>
          <t>ปกติ</t>
        </is>
      </c>
      <c r="F1246" s="3"/>
      <c r="G1246"/>
      <c r="H1246" t="inlineStr">
        <is>
          <t>YouTube</t>
        </is>
      </c>
      <c r="I1246" t="inlineStr">
        <is>
          <t>งานประจำวัน</t>
        </is>
      </c>
      <c r="J1246" t="inlineStr">
        <is>
          <t>Done</t>
        </is>
      </c>
      <c r="K1246"/>
      <c r="L1246" s="3"/>
      <c r="M1246" t="inlineStr">
        <is>
          <t>1</t>
        </is>
      </c>
      <c r="N1246" t="inlineStr">
        <is>
          <t>AI</t>
        </is>
      </c>
      <c r="O1246"/>
    </row>
    <row r="1247" ht="12.75" customHeight="1">
      <c r="A1247" t="inlineStr">
        <is>
          <t>Apple ทุ่มสร้างทีม “Answers” เพื่อพัฒนา AI ค้นหาเก่งแบบ ChatGPT
</t>
        </is>
      </c>
      <c r="B1247" t="inlineStr">
        <is>
          <t>Thitirath Kinaret</t>
        </is>
      </c>
      <c r="C1247" s="2">
        <v>45873</v>
      </c>
      <c r="D1247" s="2"/>
      <c r="E1247" t="inlineStr">
        <is>
          <t>ปกติ</t>
        </is>
      </c>
      <c r="F1247" s="3" t="str">
        <f>=HYPERLINK("https://www.iphonemod.net/apple-hiring-for-answers-team-working-on-chatgpt-like-search.html", "https://www.iphonemod.net/apple-hiring-for-answers-team-working-on-chatgpt-like-search.html")</f>
        <v>https://www.iphonemod.net/apple-hiring-for-answers-team-working-on-chatgpt-like-search.html</v>
      </c>
      <c r="G1247"/>
      <c r="H1247" t="inlineStr">
        <is>
          <t>Website, Pic Posts / Album</t>
        </is>
      </c>
      <c r="I1247" t="inlineStr">
        <is>
          <t>งานประจำวัน</t>
        </is>
      </c>
      <c r="J1247" t="inlineStr">
        <is>
          <t>Done</t>
        </is>
      </c>
      <c r="K1247"/>
      <c r="L1247" s="3"/>
      <c r="M1247" t="inlineStr">
        <is>
          <t>1</t>
        </is>
      </c>
      <c r="N1247" t="inlineStr">
        <is>
          <t>Apple, AI</t>
        </is>
      </c>
      <c r="O1247"/>
    </row>
    <row r="1248" ht="12.75" customHeight="1">
      <c r="A1248" t="inlineStr">
        <is>
          <t>Apple ยื่นฟ้อง Apple Cinemas</t>
        </is>
      </c>
      <c r="B1248" t="inlineStr">
        <is>
          <t>Sasithakan Sritonthip</t>
        </is>
      </c>
      <c r="C1248" s="2">
        <v>45873</v>
      </c>
      <c r="D1248" s="2"/>
      <c r="E1248" t="inlineStr">
        <is>
          <t>ปกติ</t>
        </is>
      </c>
      <c r="F1248" s="3" t="str">
        <f>=HYPERLINK("https://www.macrumors.com/2025/08/02/apple-vs-apple-cinemas/", "https://www.macrumors.com/2025/08/02/apple-vs-apple-cinemas/")</f>
        <v>https://www.macrumors.com/2025/08/02/apple-vs-apple-cinemas/</v>
      </c>
      <c r="G1248"/>
      <c r="H1248" t="inlineStr">
        <is>
          <t>Website</t>
        </is>
      </c>
      <c r="I1248" t="inlineStr">
        <is>
          <t>งานประจำวัน</t>
        </is>
      </c>
      <c r="J1248" t="inlineStr">
        <is>
          <t>Done</t>
        </is>
      </c>
      <c r="K1248"/>
      <c r="L1248" s="3"/>
      <c r="M1248" t="inlineStr">
        <is>
          <t>1</t>
        </is>
      </c>
      <c r="N1248" t="inlineStr">
        <is>
          <t>Apple</t>
        </is>
      </c>
      <c r="O1248"/>
    </row>
    <row r="1249" ht="12.75" customHeight="1">
      <c r="A1249" t="inlineStr">
        <is>
          <t>Tim Cook แก้ต่างเรื่อง AI ของ Apple ที่มาช้าว่า “เราไม่เคยเป็นเจ้าแรก”
</t>
        </is>
      </c>
      <c r="B1249" t="inlineStr">
        <is>
          <t>Thitirath Kinaret</t>
        </is>
      </c>
      <c r="C1249" s="2">
        <v>45873</v>
      </c>
      <c r="D1249" s="2"/>
      <c r="E1249" t="inlineStr">
        <is>
          <t>ปกติ</t>
        </is>
      </c>
      <c r="F1249" s="3" t="str">
        <f>=HYPERLINK("https://www.iphonemod.net/tim-cook-defends-apples-ai-delay-weve-rarely-been-first.html", "https://www.iphonemod.net/tim-cook-defends-apples-ai-delay-weve-rarely-been-first.html")</f>
        <v>https://www.iphonemod.net/tim-cook-defends-apples-ai-delay-weve-rarely-been-first.html</v>
      </c>
      <c r="G1249"/>
      <c r="H1249" t="inlineStr">
        <is>
          <t>Website, Pic Posts / Album</t>
        </is>
      </c>
      <c r="I1249" t="inlineStr">
        <is>
          <t>งานประจำวัน</t>
        </is>
      </c>
      <c r="J1249" t="inlineStr">
        <is>
          <t>Done</t>
        </is>
      </c>
      <c r="K1249"/>
      <c r="L1249" s="3"/>
      <c r="M1249" t="inlineStr">
        <is>
          <t>1</t>
        </is>
      </c>
      <c r="N1249" t="inlineStr">
        <is>
          <t>Apple</t>
        </is>
      </c>
      <c r="O1249"/>
    </row>
    <row r="1250" ht="12.75" customHeight="1">
      <c r="A1250" t="inlineStr">
        <is>
          <t xml:space="preserve">Galaxy Z Fold/Flip7 </t>
        </is>
      </c>
      <c r="B1250" t="inlineStr">
        <is>
          <t>Saktaphat Kordjan</t>
        </is>
      </c>
      <c r="C1250" s="2">
        <v>45873</v>
      </c>
      <c r="D1250" s="2"/>
      <c r="E1250" t="inlineStr">
        <is>
          <t>ปกติ</t>
        </is>
      </c>
      <c r="F1250" s="3"/>
      <c r="G1250"/>
      <c r="H1250" t="inlineStr">
        <is>
          <t>Pic Posts / Album, Website</t>
        </is>
      </c>
      <c r="I1250" t="inlineStr">
        <is>
          <t>งานลูกค้า</t>
        </is>
      </c>
      <c r="J1250" t="inlineStr">
        <is>
          <t>Done</t>
        </is>
      </c>
      <c r="K1250"/>
      <c r="L1250" s="3"/>
      <c r="M1250" t="inlineStr">
        <is>
          <t>1</t>
        </is>
      </c>
      <c r="N1250" t="inlineStr">
        <is>
          <t>Android</t>
        </is>
      </c>
      <c r="O1250" t="inlineStr">
        <is>
          <t>Samsung</t>
        </is>
      </c>
    </row>
    <row r="1251" ht="12.75" customHeight="1">
      <c r="A1251" t="inlineStr">
        <is>
          <t xml:space="preserve">รวมข้อสงสัย &amp; คำถามเกี่ยวกับจอพับ และทริคดี ๆ ที่อยากบอกต่อ </t>
        </is>
      </c>
      <c r="B1251" t="inlineStr">
        <is>
          <t>Saktaphat Kordjan</t>
        </is>
      </c>
      <c r="C1251" s="2">
        <v>45873</v>
      </c>
      <c r="D1251" s="2"/>
      <c r="E1251" t="inlineStr">
        <is>
          <t>ปกติ</t>
        </is>
      </c>
      <c r="F1251" s="3"/>
      <c r="G1251"/>
      <c r="H1251" t="inlineStr">
        <is>
          <t>YouTube</t>
        </is>
      </c>
      <c r="I1251" t="inlineStr">
        <is>
          <t>เสนอไอเดีย</t>
        </is>
      </c>
      <c r="J1251" t="inlineStr">
        <is>
          <t>Done</t>
        </is>
      </c>
      <c r="K1251"/>
      <c r="L1251" s="3"/>
      <c r="M1251" t="inlineStr">
        <is>
          <t>1</t>
        </is>
      </c>
      <c r="N1251" t="inlineStr">
        <is>
          <t>Android</t>
        </is>
      </c>
      <c r="O1251"/>
    </row>
    <row r="1252" ht="12.75" customHeight="1">
      <c r="A1252" t="inlineStr">
        <is>
          <t>Battlefield 6 จะใช้ระบบจับคู่ผู้เล่นตามทักษะ</t>
        </is>
      </c>
      <c r="B1252" t="inlineStr">
        <is>
          <t>Saktaphat Kordjan</t>
        </is>
      </c>
      <c r="C1252" s="2">
        <v>45873</v>
      </c>
      <c r="D1252" s="2"/>
      <c r="E1252" t="inlineStr">
        <is>
          <t>ปกติ</t>
        </is>
      </c>
      <c r="F1252" s="3"/>
      <c r="G1252"/>
      <c r="H1252" t="inlineStr">
        <is>
          <t>Website</t>
        </is>
      </c>
      <c r="I1252" t="inlineStr">
        <is>
          <t>งานประจำวัน</t>
        </is>
      </c>
      <c r="J1252" t="inlineStr">
        <is>
          <t>Done</t>
        </is>
      </c>
      <c r="K1252"/>
      <c r="L1252" s="3"/>
      <c r="M1252" t="inlineStr">
        <is>
          <t>1</t>
        </is>
      </c>
      <c r="N1252" t="inlineStr">
        <is>
          <t>ทั่วไป</t>
        </is>
      </c>
      <c r="O1252"/>
    </row>
    <row r="1253" ht="12.75" customHeight="1">
      <c r="A1253" t="inlineStr">
        <is>
          <t xml:space="preserve">Instagram ออกกฎใหม่ หากจะ Live ต้องมีผู้ติดตาม 1,000 คนขึ้นไปและเปิดบัญชีสาธารณะ </t>
        </is>
      </c>
      <c r="B1253" t="inlineStr">
        <is>
          <t>Nattida Suriyodara</t>
        </is>
      </c>
      <c r="C1253" s="2">
        <v>45873</v>
      </c>
      <c r="D1253" s="2"/>
      <c r="E1253" t="inlineStr">
        <is>
          <t>ปกติ</t>
        </is>
      </c>
      <c r="F1253" s="3"/>
      <c r="G1253"/>
      <c r="H1253" t="inlineStr">
        <is>
          <t>Website</t>
        </is>
      </c>
      <c r="I1253" t="inlineStr">
        <is>
          <t>งานประจำวัน</t>
        </is>
      </c>
      <c r="J1253" t="inlineStr">
        <is>
          <t>Done</t>
        </is>
      </c>
      <c r="K1253"/>
      <c r="L1253" s="3"/>
      <c r="M1253" t="inlineStr">
        <is>
          <t>1</t>
        </is>
      </c>
      <c r="N1253" t="inlineStr">
        <is>
          <t>ทั่วไป</t>
        </is>
      </c>
      <c r="O1253"/>
    </row>
    <row r="1254" ht="12.75" customHeight="1">
      <c r="A1254" t="inlineStr">
        <is>
          <t>ลือ! สเปคเครื่อง และวันเปิดตัวของ PS6</t>
        </is>
      </c>
      <c r="B1254" t="inlineStr">
        <is>
          <t>Sasithakan Sritonthip</t>
        </is>
      </c>
      <c r="C1254" s="2">
        <v>45873</v>
      </c>
      <c r="D1254" s="2"/>
      <c r="E1254" t="inlineStr">
        <is>
          <t>ปกติ</t>
        </is>
      </c>
      <c r="F1254" s="3"/>
      <c r="G1254"/>
      <c r="H1254" t="inlineStr">
        <is>
          <t>Website</t>
        </is>
      </c>
      <c r="I1254" t="inlineStr">
        <is>
          <t>งานประจำวัน</t>
        </is>
      </c>
      <c r="J1254" t="inlineStr">
        <is>
          <t>Done</t>
        </is>
      </c>
      <c r="K1254"/>
      <c r="L1254" s="3"/>
      <c r="M1254" t="inlineStr">
        <is>
          <t>1</t>
        </is>
      </c>
      <c r="N1254" t="inlineStr">
        <is>
          <t>Tech</t>
        </is>
      </c>
      <c r="O1254"/>
    </row>
    <row r="1255" ht="12.75" customHeight="1">
      <c r="A1255" t="inlineStr">
        <is>
          <t>Qualcomm เตรียมเปิดตัว Snapdragon 8 Elite 2 และ 8 Gen 5</t>
        </is>
      </c>
      <c r="B1255" t="inlineStr">
        <is>
          <t>Saktaphat Kordjan</t>
        </is>
      </c>
      <c r="C1255" s="2">
        <v>45873</v>
      </c>
      <c r="D1255" s="2"/>
      <c r="E1255" t="inlineStr">
        <is>
          <t>ปกติ</t>
        </is>
      </c>
      <c r="F1255" s="3"/>
      <c r="G1255"/>
      <c r="H1255" t="inlineStr">
        <is>
          <t>Website</t>
        </is>
      </c>
      <c r="I1255" t="inlineStr">
        <is>
          <t>งานประจำวัน</t>
        </is>
      </c>
      <c r="J1255" t="inlineStr">
        <is>
          <t>Done</t>
        </is>
      </c>
      <c r="K1255"/>
      <c r="L1255" s="3"/>
      <c r="M1255" t="inlineStr">
        <is>
          <t>1</t>
        </is>
      </c>
      <c r="N1255" t="inlineStr">
        <is>
          <t>ทั่วไป</t>
        </is>
      </c>
      <c r="O1255"/>
    </row>
    <row r="1256" ht="12.75" customHeight="1">
      <c r="A1256" t="inlineStr">
        <is>
          <t>แชทของผู้ใช้ ChatGPT ที่แชร์สู่สาธารณะถูกค้นเจอบน Google จน OpenAI ต้องประกาศยุติการทดลอง</t>
        </is>
      </c>
      <c r="B1256" t="inlineStr">
        <is>
          <t>Nattida Suriyodara</t>
        </is>
      </c>
      <c r="C1256" s="2">
        <v>45870</v>
      </c>
      <c r="D1256" s="2"/>
      <c r="E1256" t="inlineStr">
        <is>
          <t>ปกติ</t>
        </is>
      </c>
      <c r="F1256" s="3"/>
      <c r="G1256"/>
      <c r="H1256" t="inlineStr">
        <is>
          <t>Website</t>
        </is>
      </c>
      <c r="I1256" t="inlineStr">
        <is>
          <t>งานประจำวัน</t>
        </is>
      </c>
      <c r="J1256" t="inlineStr">
        <is>
          <t>Done</t>
        </is>
      </c>
      <c r="K1256"/>
      <c r="L1256" s="3" t="str">
        <f>=HYPERLINK("https://www.iphonemod.net/chatgpt-user-public-chat.html", "https://www.iphonemod.net/chatgpt-user-public-chat.html")</f>
        <v>https://www.iphonemod.net/chatgpt-user-public-chat.html</v>
      </c>
      <c r="M1256" t="inlineStr">
        <is>
          <t>1</t>
        </is>
      </c>
      <c r="N1256" t="inlineStr">
        <is>
          <t>AI</t>
        </is>
      </c>
      <c r="O1256"/>
    </row>
    <row r="1257" ht="12.75" customHeight="1">
      <c r="A1257" t="inlineStr">
        <is>
          <t>Uber Eats เปิดตัวฟีเจอร์ AI ใหม่ เปลี่ยนภาพอาหารและคำบรรยายให้น่ากินขึ้น</t>
        </is>
      </c>
      <c r="B1257" t="inlineStr">
        <is>
          <t>Nattida Suriyodara</t>
        </is>
      </c>
      <c r="C1257" s="2">
        <v>45870</v>
      </c>
      <c r="D1257" s="2"/>
      <c r="E1257" t="inlineStr">
        <is>
          <t>ปกติ</t>
        </is>
      </c>
      <c r="F1257" s="3" t="str">
        <f>=HYPERLINK("https://www.iphonemod.net/uber-eats-launches-ai-food-enhancement.html", "https://www.iphonemod.net/uber-eats-launches-ai-food-enhancement.html")</f>
        <v>https://www.iphonemod.net/uber-eats-launches-ai-food-enhancement.html</v>
      </c>
      <c r="G1257"/>
      <c r="H1257" t="inlineStr">
        <is>
          <t>Website</t>
        </is>
      </c>
      <c r="I1257" t="inlineStr">
        <is>
          <t>งานประจำวัน</t>
        </is>
      </c>
      <c r="J1257" t="inlineStr">
        <is>
          <t>Done</t>
        </is>
      </c>
      <c r="K1257"/>
      <c r="L1257" s="3"/>
      <c r="M1257" t="inlineStr">
        <is>
          <t>1</t>
        </is>
      </c>
      <c r="N1257" t="inlineStr">
        <is>
          <t>AI</t>
        </is>
      </c>
      <c r="O1257"/>
    </row>
    <row r="1258" ht="12.75" customHeight="1">
      <c r="A1258" t="inlineStr">
        <is>
          <t>Galaxy Z Fold7 ทำลายสถิติยอดจองล่วงหน้าสูงสุดในสหรัฐฯ</t>
        </is>
      </c>
      <c r="B1258" t="inlineStr">
        <is>
          <t>Saktaphat Kordjan</t>
        </is>
      </c>
      <c r="C1258" s="2">
        <v>45870</v>
      </c>
      <c r="D1258" s="2"/>
      <c r="E1258" t="inlineStr">
        <is>
          <t>ปกติ</t>
        </is>
      </c>
      <c r="F1258" s="3"/>
      <c r="G1258"/>
      <c r="H1258" t="inlineStr">
        <is>
          <t>Website</t>
        </is>
      </c>
      <c r="I1258" t="inlineStr">
        <is>
          <t>งานประจำวัน</t>
        </is>
      </c>
      <c r="J1258" t="inlineStr">
        <is>
          <t>Done</t>
        </is>
      </c>
      <c r="K1258"/>
      <c r="L1258" s="3"/>
      <c r="M1258" t="inlineStr">
        <is>
          <t>1</t>
        </is>
      </c>
      <c r="N1258" t="inlineStr">
        <is>
          <t>Android</t>
        </is>
      </c>
      <c r="O1258"/>
    </row>
    <row r="1259" ht="12.75" customHeight="1">
      <c r="A1259" t="inlineStr">
        <is>
          <t>OpenAI ยุติ! ฟีเจอร์ที่ให้ผู้ใช้แชร์แชทสู่สาธารณะ</t>
        </is>
      </c>
      <c r="B1259" t="inlineStr">
        <is>
          <t>Nattida Suriyodara,Sasithakan Sritonthip</t>
        </is>
      </c>
      <c r="C1259" s="2">
        <v>45870</v>
      </c>
      <c r="D1259" s="2"/>
      <c r="E1259" t="inlineStr">
        <is>
          <t>ปกติ</t>
        </is>
      </c>
      <c r="F1259" s="3"/>
      <c r="G1259"/>
      <c r="H1259" t="inlineStr">
        <is>
          <t>Shorts</t>
        </is>
      </c>
      <c r="I1259" t="inlineStr">
        <is>
          <t>งานประจำวัน</t>
        </is>
      </c>
      <c r="J1259" t="inlineStr">
        <is>
          <t>Done</t>
        </is>
      </c>
      <c r="K1259"/>
      <c r="L1259" s="3"/>
      <c r="M1259" t="inlineStr">
        <is>
          <t>1</t>
        </is>
      </c>
      <c r="N1259" t="inlineStr">
        <is>
          <t>AI</t>
        </is>
      </c>
      <c r="O1259"/>
    </row>
    <row r="1260" ht="12.75" customHeight="1">
      <c r="A1260" t="inlineStr">
        <is>
          <t>DJI เปิดตัวกล้อง Osmo 360° ตัวแรก ถ่าย 8K ได้ 100 นาที</t>
        </is>
      </c>
      <c r="B1260" t="inlineStr">
        <is>
          <t>Saktaphat Kordjan</t>
        </is>
      </c>
      <c r="C1260" s="2">
        <v>45870</v>
      </c>
      <c r="D1260" s="2"/>
      <c r="E1260" t="inlineStr">
        <is>
          <t>ปกติ</t>
        </is>
      </c>
      <c r="F1260" s="3"/>
      <c r="G1260"/>
      <c r="H1260" t="inlineStr">
        <is>
          <t>Website</t>
        </is>
      </c>
      <c r="I1260" t="inlineStr">
        <is>
          <t>งานประจำวัน</t>
        </is>
      </c>
      <c r="J1260" t="inlineStr">
        <is>
          <t>Done</t>
        </is>
      </c>
      <c r="K1260"/>
      <c r="L1260" s="3"/>
      <c r="M1260" t="inlineStr">
        <is>
          <t>1</t>
        </is>
      </c>
      <c r="N1260" t="inlineStr">
        <is>
          <t>Tech</t>
        </is>
      </c>
      <c r="O1260"/>
    </row>
    <row r="1261" ht="12.75" customHeight="1">
      <c r="A1261" t="inlineStr">
        <is>
          <t>Galaxy S26 Pro และ Edge มาพร้อมแบตเตอรี่ใหญ่ขึ้นกว่าเดิม</t>
        </is>
      </c>
      <c r="B1261" t="inlineStr">
        <is>
          <t>Saktaphat Kordjan</t>
        </is>
      </c>
      <c r="C1261" s="2">
        <v>45870</v>
      </c>
      <c r="D1261" s="2"/>
      <c r="E1261" t="inlineStr">
        <is>
          <t>ปกติ</t>
        </is>
      </c>
      <c r="F1261" s="3"/>
      <c r="G1261"/>
      <c r="H1261" t="inlineStr">
        <is>
          <t>Website</t>
        </is>
      </c>
      <c r="I1261" t="inlineStr">
        <is>
          <t>งานประจำวัน</t>
        </is>
      </c>
      <c r="J1261" t="inlineStr">
        <is>
          <t>Done</t>
        </is>
      </c>
      <c r="K1261"/>
      <c r="L1261" s="3"/>
      <c r="M1261" t="inlineStr">
        <is>
          <t>1</t>
        </is>
      </c>
      <c r="N1261" t="inlineStr">
        <is>
          <t>Android</t>
        </is>
      </c>
      <c r="O1261"/>
    </row>
    <row r="1262" ht="12.75" customHeight="1">
      <c r="A1262" t="inlineStr">
        <is>
          <t>App Store ต้อนรับ Back to School ด้วยดีลพิเศษจากแอปเพื่อการศึกษา</t>
        </is>
      </c>
      <c r="B1262" t="inlineStr">
        <is>
          <t>Sasithakan Sritonthip</t>
        </is>
      </c>
      <c r="C1262" s="2">
        <v>45870</v>
      </c>
      <c r="D1262" s="2"/>
      <c r="E1262" t="inlineStr">
        <is>
          <t>ปกติ</t>
        </is>
      </c>
      <c r="F1262" s="3" t="str">
        <f>=HYPERLINK("https://mail.google.com/mail/u/0/#inbox/FMfcgzQbgcNCMNRvkDqJmdFHmFmWWCJF", "https://mail.google.com/mail/u/0/#inbox/FMfcgzQbgcNCMNRvkDqJmdFHmFmWWCJF")</f>
        <v>https://mail.google.com/mail/u/0/#inbox/FMfcgzQbgcNCMNRvkDqJmdFHmFmWWCJF</v>
      </c>
      <c r="G1262"/>
      <c r="H1262" t="inlineStr">
        <is>
          <t>Website</t>
        </is>
      </c>
      <c r="I1262" t="inlineStr">
        <is>
          <t>งานลูกค้า</t>
        </is>
      </c>
      <c r="J1262" t="inlineStr">
        <is>
          <t>Done</t>
        </is>
      </c>
      <c r="K1262"/>
      <c r="L1262" s="3"/>
      <c r="M1262" t="inlineStr">
        <is>
          <t>1</t>
        </is>
      </c>
      <c r="N1262" t="inlineStr">
        <is>
          <t>Apple</t>
        </is>
      </c>
      <c r="O1262" t="inlineStr">
        <is>
          <t>Apple</t>
        </is>
      </c>
    </row>
    <row r="1263" ht="12.75" customHeight="1">
      <c r="A1263" t="inlineStr">
        <is>
          <t>10 อาชีพที่เสียงโดน AI แย่งงาน</t>
        </is>
      </c>
      <c r="B1263" t="inlineStr">
        <is>
          <t>Nattida Suriyodara</t>
        </is>
      </c>
      <c r="C1263" s="2">
        <v>45870</v>
      </c>
      <c r="D1263" s="2"/>
      <c r="E1263" t="inlineStr">
        <is>
          <t>ปกติ</t>
        </is>
      </c>
      <c r="F1263" s="3"/>
      <c r="G1263"/>
      <c r="H1263" t="inlineStr">
        <is>
          <t>Website</t>
        </is>
      </c>
      <c r="I1263" t="inlineStr">
        <is>
          <t>งานประจำวัน</t>
        </is>
      </c>
      <c r="J1263" t="inlineStr">
        <is>
          <t>Done</t>
        </is>
      </c>
      <c r="K1263"/>
      <c r="L1263" s="3"/>
      <c r="M1263" t="inlineStr">
        <is>
          <t>1</t>
        </is>
      </c>
      <c r="N1263" t="inlineStr">
        <is>
          <t>AI</t>
        </is>
      </c>
      <c r="O1263"/>
    </row>
    <row r="1264" ht="12.75" customHeight="1">
      <c r="A1264" t="inlineStr">
        <is>
          <t>BaNANA Big Bonus 2025@Imperial Sarong</t>
        </is>
      </c>
      <c r="B1264" t="inlineStr">
        <is>
          <t>Thitirath Kinaret</t>
        </is>
      </c>
      <c r="C1264" s="2">
        <v>45869</v>
      </c>
      <c r="D1264" s="2"/>
      <c r="E1264" t="inlineStr">
        <is>
          <t>ปกติ</t>
        </is>
      </c>
      <c r="F1264" s="3"/>
      <c r="G1264"/>
      <c r="H1264" t="inlineStr">
        <is>
          <t>Pic Posts / Album, Event</t>
        </is>
      </c>
      <c r="I1264" t="inlineStr">
        <is>
          <t>งานลูกค้า</t>
        </is>
      </c>
      <c r="J1264" t="inlineStr">
        <is>
          <t>Done</t>
        </is>
      </c>
      <c r="K1264"/>
      <c r="L1264" s="3"/>
      <c r="M1264" t="inlineStr">
        <is>
          <t>1</t>
        </is>
      </c>
      <c r="N1264" t="inlineStr">
        <is>
          <t>ลูกค้า</t>
        </is>
      </c>
      <c r="O1264" t="inlineStr">
        <is>
          <t>BaNANA</t>
        </is>
      </c>
    </row>
    <row r="1265" ht="12.75" customHeight="1">
      <c r="A1265" t="inlineStr">
        <is>
          <t>Google Search อัปเดตฟีเจอร์ช่วยทำการบ้าน</t>
        </is>
      </c>
      <c r="B1265" t="inlineStr">
        <is>
          <t>Nattida Suriyodara</t>
        </is>
      </c>
      <c r="C1265" s="2">
        <v>45869</v>
      </c>
      <c r="D1265" s="2"/>
      <c r="E1265" t="inlineStr">
        <is>
          <t>ปกติ</t>
        </is>
      </c>
      <c r="F1265" s="3" t="str">
        <f>=HYPERLINK("https://www.theverge.com/news/715218/google-ai-mode-image-upload-canvas-update-students", "https://www.theverge.com/news/715218/google-ai-mode-image-upload-canvas-update-students")</f>
        <v>https://www.theverge.com/news/715218/google-ai-mode-image-upload-canvas-update-students</v>
      </c>
      <c r="G1265"/>
      <c r="H1265" t="inlineStr">
        <is>
          <t>Website</t>
        </is>
      </c>
      <c r="I1265" t="inlineStr">
        <is>
          <t>งานประจำวัน</t>
        </is>
      </c>
      <c r="J1265" t="inlineStr">
        <is>
          <t>Done</t>
        </is>
      </c>
      <c r="K1265"/>
      <c r="L1265" s="3"/>
      <c r="M1265" t="inlineStr">
        <is>
          <t>1</t>
        </is>
      </c>
      <c r="N1265" t="inlineStr">
        <is>
          <t>AI</t>
        </is>
      </c>
      <c r="O1265"/>
    </row>
    <row r="1266" ht="12.75" customHeight="1">
      <c r="A1266" t="inlineStr">
        <is>
          <t>Meta เตรียมลงทุนสร้าง AI อัจฉริยะ</t>
        </is>
      </c>
      <c r="B1266" t="inlineStr">
        <is>
          <t>Nattida Suriyodara</t>
        </is>
      </c>
      <c r="C1266" s="2">
        <v>45869</v>
      </c>
      <c r="D1266" s="2"/>
      <c r="E1266" t="inlineStr">
        <is>
          <t>ปกติ</t>
        </is>
      </c>
      <c r="F1266" s="3" t="str">
        <f>=HYPERLINK("https://www.nytimes.com/2025/07/30/technology/meta-earnings-ai-spending.html", "https://www.nytimes.com/2025/07/30/technology/meta-earnings-ai-spending.html")</f>
        <v>https://www.nytimes.com/2025/07/30/technology/meta-earnings-ai-spending.html</v>
      </c>
      <c r="G1266"/>
      <c r="H1266" t="inlineStr">
        <is>
          <t>Website</t>
        </is>
      </c>
      <c r="I1266" t="inlineStr">
        <is>
          <t>งานประจำวัน</t>
        </is>
      </c>
      <c r="J1266" t="inlineStr">
        <is>
          <t>Done</t>
        </is>
      </c>
      <c r="K1266"/>
      <c r="L1266" s="3"/>
      <c r="M1266" t="inlineStr">
        <is>
          <t>1</t>
        </is>
      </c>
      <c r="N1266" t="inlineStr">
        <is>
          <t>AI</t>
        </is>
      </c>
      <c r="O1266"/>
    </row>
    <row r="1267" ht="12.75" customHeight="1">
      <c r="A1267" t="inlineStr">
        <is>
          <t>Apple โปรโมต Galaxy Z Flip7 บน Weibo โดยไม่ได้ตั้งใจ</t>
        </is>
      </c>
      <c r="B1267" t="inlineStr">
        <is>
          <t>Saktaphat Kordjan</t>
        </is>
      </c>
      <c r="C1267" s="2">
        <v>45869</v>
      </c>
      <c r="D1267" s="2"/>
      <c r="E1267" t="inlineStr">
        <is>
          <t>ปกติ</t>
        </is>
      </c>
      <c r="F1267" s="3"/>
      <c r="G1267"/>
      <c r="H1267" t="inlineStr">
        <is>
          <t>Website</t>
        </is>
      </c>
      <c r="I1267" t="inlineStr">
        <is>
          <t>งานประจำวัน</t>
        </is>
      </c>
      <c r="J1267" t="inlineStr">
        <is>
          <t>Done</t>
        </is>
      </c>
      <c r="K1267"/>
      <c r="L1267" s="3"/>
      <c r="M1267" t="inlineStr">
        <is>
          <t>1</t>
        </is>
      </c>
      <c r="N1267" t="inlineStr">
        <is>
          <t>Apple, Android</t>
        </is>
      </c>
      <c r="O1267"/>
    </row>
    <row r="1268" ht="12.75" customHeight="1">
      <c r="A1268" t="inlineStr">
        <is>
          <t>ChatGPT Study Mode</t>
        </is>
      </c>
      <c r="B1268" t="inlineStr">
        <is>
          <t>Nattida Suriyodara,Sasithakan Sritonthip</t>
        </is>
      </c>
      <c r="C1268" s="2">
        <v>45869</v>
      </c>
      <c r="D1268" s="2"/>
      <c r="E1268" t="inlineStr">
        <is>
          <t>ปกติ</t>
        </is>
      </c>
      <c r="F1268" s="3"/>
      <c r="G1268"/>
      <c r="H1268" t="inlineStr">
        <is>
          <t>Shorts</t>
        </is>
      </c>
      <c r="I1268" t="inlineStr">
        <is>
          <t>งานประจำวัน</t>
        </is>
      </c>
      <c r="J1268" t="inlineStr">
        <is>
          <t>Done</t>
        </is>
      </c>
      <c r="K1268"/>
      <c r="L1268" s="3"/>
      <c r="M1268" t="inlineStr">
        <is>
          <t>1</t>
        </is>
      </c>
      <c r="N1268" t="inlineStr">
        <is>
          <t>AI</t>
        </is>
      </c>
      <c r="O1268"/>
    </row>
    <row r="1269" ht="12.75" customHeight="1">
      <c r="A1269" t="inlineStr">
        <is>
          <t>พาชม macOS Tahoe (ตัวทดสอบ) Public Beta ตัวแรก สวยดี มีความ Liquid Glass
</t>
        </is>
      </c>
      <c r="B1269" t="inlineStr">
        <is>
          <t>Thitirath Kinaret</t>
        </is>
      </c>
      <c r="C1269" s="2">
        <v>45869</v>
      </c>
      <c r="D1269" s="2">
        <v>45869</v>
      </c>
      <c r="E1269" t="inlineStr">
        <is>
          <t>ปกติ</t>
        </is>
      </c>
      <c r="F1269" s="3" t="str">
        <f>=HYPERLINK("https://youtu.be/6U6mNq5YfBQ", "https://youtu.be/6U6mNq5YfBQ")</f>
        <v>https://youtu.be/6U6mNq5YfBQ</v>
      </c>
      <c r="G1269"/>
      <c r="H1269" t="inlineStr">
        <is>
          <t>YouTube</t>
        </is>
      </c>
      <c r="I1269" t="inlineStr">
        <is>
          <t>งานประจำวัน</t>
        </is>
      </c>
      <c r="J1269" t="inlineStr">
        <is>
          <t>Done</t>
        </is>
      </c>
      <c r="K1269"/>
      <c r="L1269" s="3"/>
      <c r="M1269" t="inlineStr">
        <is>
          <t>1</t>
        </is>
      </c>
      <c r="N1269" t="inlineStr">
        <is>
          <t>Apple</t>
        </is>
      </c>
      <c r="O1269"/>
    </row>
    <row r="1270" ht="12.75" customHeight="1">
      <c r="A1270" t="inlineStr">
        <is>
          <t>Vheer AI สร้างรูปภาพ</t>
        </is>
      </c>
      <c r="B1270" t="inlineStr">
        <is>
          <t>Sasithakan Sritonthip</t>
        </is>
      </c>
      <c r="C1270" s="2">
        <v>45869</v>
      </c>
      <c r="D1270" s="2"/>
      <c r="E1270" t="inlineStr">
        <is>
          <t>ปกติ</t>
        </is>
      </c>
      <c r="F1270" s="3" t="str">
        <f>=HYPERLINK("https://vheer.com/", "https://vheer.com/")</f>
        <v>https://vheer.com/</v>
      </c>
      <c r="G1270"/>
      <c r="H1270" t="inlineStr">
        <is>
          <t>Website</t>
        </is>
      </c>
      <c r="I1270" t="inlineStr">
        <is>
          <t>งานประจำวัน</t>
        </is>
      </c>
      <c r="J1270" t="inlineStr">
        <is>
          <t>Done</t>
        </is>
      </c>
      <c r="K1270"/>
      <c r="L1270" s="3"/>
      <c r="M1270" t="inlineStr">
        <is>
          <t>1</t>
        </is>
      </c>
      <c r="N1270" t="inlineStr">
        <is>
          <t>AI</t>
        </is>
      </c>
      <c r="O1270"/>
    </row>
    <row r="1271" ht="12.75" customHeight="1">
      <c r="A1271" t="inlineStr">
        <is>
          <t>Nothing เปิดรับสมัครผู้ใช้ Phone (3) ร่วมทดสอบ Android 16 (Beta)</t>
        </is>
      </c>
      <c r="B1271" t="inlineStr">
        <is>
          <t>Saktaphat Kordjan</t>
        </is>
      </c>
      <c r="C1271" s="2">
        <v>45869</v>
      </c>
      <c r="D1271" s="2"/>
      <c r="E1271" t="inlineStr">
        <is>
          <t>ปกติ</t>
        </is>
      </c>
      <c r="F1271" s="3"/>
      <c r="G1271"/>
      <c r="H1271" t="inlineStr">
        <is>
          <t>Website</t>
        </is>
      </c>
      <c r="I1271" t="inlineStr">
        <is>
          <t>งานประจำวัน</t>
        </is>
      </c>
      <c r="J1271" t="inlineStr">
        <is>
          <t>Done</t>
        </is>
      </c>
      <c r="K1271"/>
      <c r="L1271" s="3"/>
      <c r="M1271" t="inlineStr">
        <is>
          <t>1</t>
        </is>
      </c>
      <c r="N1271" t="inlineStr">
        <is>
          <t>Android</t>
        </is>
      </c>
      <c r="O1271"/>
    </row>
    <row r="1272" ht="12.75" customHeight="1">
      <c r="A1272" t="inlineStr">
        <is>
          <t xml:space="preserve">Full review Nothing Phone 3 </t>
        </is>
      </c>
      <c r="B1272" t="inlineStr">
        <is>
          <t>Saktaphat Kordjan</t>
        </is>
      </c>
      <c r="C1272" s="2">
        <v>45869</v>
      </c>
      <c r="D1272" s="2"/>
      <c r="E1272" t="inlineStr">
        <is>
          <t>ปกติ</t>
        </is>
      </c>
      <c r="F1272" s="3"/>
      <c r="G1272"/>
      <c r="H1272" t="inlineStr">
        <is>
          <t>YouTube</t>
        </is>
      </c>
      <c r="I1272" t="inlineStr">
        <is>
          <t>งานลูกค้า</t>
        </is>
      </c>
      <c r="J1272" t="inlineStr">
        <is>
          <t>Done</t>
        </is>
      </c>
      <c r="K1272"/>
      <c r="L1272" s="3"/>
      <c r="M1272" t="inlineStr">
        <is>
          <t>1</t>
        </is>
      </c>
      <c r="N1272" t="inlineStr">
        <is>
          <t>Android</t>
        </is>
      </c>
      <c r="O1272" t="inlineStr">
        <is>
          <t>Nothing</t>
        </is>
      </c>
    </row>
    <row r="1273" ht="12.75" customHeight="1">
      <c r="A1273" t="inlineStr">
        <is>
          <t>กดชัตเตอร์บน Apple Watch ผ่านคำสั่งมือ</t>
        </is>
      </c>
      <c r="B1273" t="inlineStr">
        <is>
          <t>Nattida Suriyodara,Sasithakan Sritonthip</t>
        </is>
      </c>
      <c r="C1273" s="2">
        <v>45868</v>
      </c>
      <c r="D1273" s="2"/>
      <c r="E1273" t="inlineStr">
        <is>
          <t>ปกติ</t>
        </is>
      </c>
      <c r="F1273" s="3"/>
      <c r="G1273"/>
      <c r="H1273" t="inlineStr">
        <is>
          <t>Shorts</t>
        </is>
      </c>
      <c r="I1273" t="inlineStr">
        <is>
          <t>งานประจำวัน</t>
        </is>
      </c>
      <c r="J1273" t="inlineStr">
        <is>
          <t>Done</t>
        </is>
      </c>
      <c r="K1273"/>
      <c r="L1273" s="3"/>
      <c r="M1273" t="inlineStr">
        <is>
          <t>1</t>
        </is>
      </c>
      <c r="N1273" t="inlineStr">
        <is>
          <t>Apple</t>
        </is>
      </c>
      <c r="O1273"/>
    </row>
    <row r="1274" ht="12.75" customHeight="1">
      <c r="A1274" t="inlineStr">
        <is>
          <t>One UI8 มีอะไรใหม่บ้าง</t>
        </is>
      </c>
      <c r="B1274" t="inlineStr">
        <is>
          <t>Saktaphat Kordjan</t>
        </is>
      </c>
      <c r="C1274" s="2">
        <v>45868</v>
      </c>
      <c r="D1274" s="2"/>
      <c r="E1274" t="inlineStr">
        <is>
          <t>ปกติ</t>
        </is>
      </c>
      <c r="F1274" s="3"/>
      <c r="G1274"/>
      <c r="H1274" t="inlineStr">
        <is>
          <t>Website, Pic Posts / Album, YouTube</t>
        </is>
      </c>
      <c r="I1274" t="inlineStr">
        <is>
          <t>เสนอไอเดีย</t>
        </is>
      </c>
      <c r="J1274" t="inlineStr">
        <is>
          <t>Done</t>
        </is>
      </c>
      <c r="K1274"/>
      <c r="L1274" s="3"/>
      <c r="M1274" t="inlineStr">
        <is>
          <t>1</t>
        </is>
      </c>
      <c r="N1274" t="inlineStr">
        <is>
          <t>Android</t>
        </is>
      </c>
      <c r="O1274"/>
    </row>
    <row r="1275" ht="12.75" customHeight="1">
      <c r="A1275" t="inlineStr">
        <is>
          <t>Adobe เพิ่มฟีเจอร์แก้ไขรูปภาพใหม่ใน PS</t>
        </is>
      </c>
      <c r="B1275" t="inlineStr">
        <is>
          <t>Sasithakan Sritonthip</t>
        </is>
      </c>
      <c r="C1275" s="2">
        <v>45868</v>
      </c>
      <c r="D1275" s="2"/>
      <c r="E1275" t="inlineStr">
        <is>
          <t>ปกติ</t>
        </is>
      </c>
      <c r="F1275" s="3" t="str">
        <f>=HYPERLINK("https://techcrunch.com/2025/07/29/adobe-adds-new-ai-powered-image-editing-features-to-photoshop/", "https://techcrunch.com/2025/07/29/adobe-adds-new-ai-powered-image-editing-features-to-photoshop/")</f>
        <v>https://techcrunch.com/2025/07/29/adobe-adds-new-ai-powered-image-editing-features-to-photoshop/</v>
      </c>
      <c r="G1275"/>
      <c r="H1275" t="inlineStr">
        <is>
          <t>Website</t>
        </is>
      </c>
      <c r="I1275" t="inlineStr">
        <is>
          <t>งานประจำวัน</t>
        </is>
      </c>
      <c r="J1275" t="inlineStr">
        <is>
          <t>Done</t>
        </is>
      </c>
      <c r="K1275"/>
      <c r="L1275" s="3"/>
      <c r="M1275" t="inlineStr">
        <is>
          <t>1</t>
        </is>
      </c>
      <c r="N1275" t="inlineStr">
        <is>
          <t>AI</t>
        </is>
      </c>
      <c r="O1275"/>
    </row>
    <row r="1276" ht="12.75" customHeight="1">
      <c r="A1276" t="inlineStr">
        <is>
          <t xml:space="preserve">รวม 5 เครื่องมือ AI ในเว็บ Vheer </t>
        </is>
      </c>
      <c r="B1276" t="inlineStr">
        <is>
          <t>Nattida Suriyodara,Sasithakan Sritonthip</t>
        </is>
      </c>
      <c r="C1276" s="2">
        <v>45868</v>
      </c>
      <c r="D1276" s="2"/>
      <c r="E1276" t="inlineStr">
        <is>
          <t>ปกติ</t>
        </is>
      </c>
      <c r="F1276" s="3" t="str">
        <f>=HYPERLINK("https://vheer.com", "https://vheer.com")</f>
        <v>https://vheer.com</v>
      </c>
      <c r="G1276"/>
      <c r="H1276" t="inlineStr">
        <is>
          <t>Shorts</t>
        </is>
      </c>
      <c r="I1276" t="inlineStr">
        <is>
          <t>งานประจำวัน</t>
        </is>
      </c>
      <c r="J1276" t="inlineStr">
        <is>
          <t>Done</t>
        </is>
      </c>
      <c r="K1276"/>
      <c r="L1276" s="3"/>
      <c r="M1276" t="inlineStr">
        <is>
          <t>1</t>
        </is>
      </c>
      <c r="N1276" t="inlineStr">
        <is>
          <t>AI</t>
        </is>
      </c>
      <c r="O1276"/>
    </row>
    <row r="1277" ht="12.75" customHeight="1">
      <c r="A1277" t="inlineStr">
        <is>
          <t>ChatGPT study mode</t>
        </is>
      </c>
      <c r="B1277" t="inlineStr">
        <is>
          <t>Nattida Suriyodara</t>
        </is>
      </c>
      <c r="C1277" s="2">
        <v>45868</v>
      </c>
      <c r="D1277" s="2"/>
      <c r="E1277" t="inlineStr">
        <is>
          <t>ปกติ</t>
        </is>
      </c>
      <c r="F1277" s="3" t="str">
        <f>=HYPERLINK("https://openai.com/index/chatgpt-study-mode/", "https://openai.com/index/chatgpt-study-mode/")</f>
        <v>https://openai.com/index/chatgpt-study-mode/</v>
      </c>
      <c r="G1277"/>
      <c r="H1277" t="inlineStr">
        <is>
          <t>YouTube</t>
        </is>
      </c>
      <c r="I1277" t="inlineStr">
        <is>
          <t>งานประจำวัน</t>
        </is>
      </c>
      <c r="J1277" t="inlineStr">
        <is>
          <t>Done</t>
        </is>
      </c>
      <c r="K1277"/>
      <c r="L1277" s="3"/>
      <c r="M1277" t="inlineStr">
        <is>
          <t>1</t>
        </is>
      </c>
      <c r="N1277" t="inlineStr">
        <is>
          <t>AI</t>
        </is>
      </c>
      <c r="O1277"/>
    </row>
    <row r="1278" ht="12.75" customHeight="1">
      <c r="A1278" t="inlineStr">
        <is>
          <t>WatchOS 26 บอกระยะ iPhone ที่กำลังตามหา</t>
        </is>
      </c>
      <c r="B1278" t="inlineStr">
        <is>
          <t>Nattida Suriyodara</t>
        </is>
      </c>
      <c r="C1278" s="2">
        <v>45868</v>
      </c>
      <c r="D1278" s="2"/>
      <c r="E1278" t="inlineStr">
        <is>
          <t>ปกติ</t>
        </is>
      </c>
      <c r="F1278" s="3"/>
      <c r="G1278"/>
      <c r="H1278" t="inlineStr">
        <is>
          <t>Website</t>
        </is>
      </c>
      <c r="I1278" t="inlineStr">
        <is>
          <t>งานประจำวัน</t>
        </is>
      </c>
      <c r="J1278" t="inlineStr">
        <is>
          <t>Done</t>
        </is>
      </c>
      <c r="K1278"/>
      <c r="L1278" s="3"/>
      <c r="M1278" t="inlineStr">
        <is>
          <t>1</t>
        </is>
      </c>
      <c r="N1278" t="inlineStr">
        <is>
          <t>Apple</t>
        </is>
      </c>
      <c r="O1278"/>
    </row>
    <row r="1279" ht="12.75" customHeight="1">
      <c r="A1279" t="inlineStr">
        <is>
          <t>Galaxy S26 Ultra อาจไม่ได้ชาร์จไว 65W อย่างที่คาดไว้</t>
        </is>
      </c>
      <c r="B1279" t="inlineStr">
        <is>
          <t>Saktaphat Kordjan</t>
        </is>
      </c>
      <c r="C1279" s="2">
        <v>45868</v>
      </c>
      <c r="D1279" s="2"/>
      <c r="E1279" t="inlineStr">
        <is>
          <t>ปกติ</t>
        </is>
      </c>
      <c r="F1279" s="3"/>
      <c r="G1279"/>
      <c r="H1279" t="inlineStr">
        <is>
          <t>Website</t>
        </is>
      </c>
      <c r="I1279" t="inlineStr">
        <is>
          <t>งานประจำวัน</t>
        </is>
      </c>
      <c r="J1279" t="inlineStr">
        <is>
          <t>Done</t>
        </is>
      </c>
      <c r="K1279"/>
      <c r="L1279" s="3"/>
      <c r="M1279" t="inlineStr">
        <is>
          <t>1</t>
        </is>
      </c>
      <c r="N1279" t="inlineStr">
        <is>
          <t>Android</t>
        </is>
      </c>
      <c r="O1279"/>
    </row>
    <row r="1280" ht="12.75" customHeight="1">
      <c r="A1280" t="inlineStr">
        <is>
          <t>ChatGPT เพิ่มโหมดใหม่! “Study Mode”</t>
        </is>
      </c>
      <c r="B1280" t="inlineStr">
        <is>
          <t>Sasithakan Sritonthip</t>
        </is>
      </c>
      <c r="C1280" s="2">
        <v>45868</v>
      </c>
      <c r="D1280" s="2"/>
      <c r="E1280" t="inlineStr">
        <is>
          <t>ปกติ</t>
        </is>
      </c>
      <c r="F1280" s="3" t="str">
        <f>=HYPERLINK("https://openai.com/index/chatgpt-study-mode/", "https://openai.com/index/chatgpt-study-mode/")</f>
        <v>https://openai.com/index/chatgpt-study-mode/</v>
      </c>
      <c r="G1280"/>
      <c r="H1280" t="inlineStr">
        <is>
          <t>Website</t>
        </is>
      </c>
      <c r="I1280" t="inlineStr">
        <is>
          <t>งานประจำวัน</t>
        </is>
      </c>
      <c r="J1280" t="inlineStr">
        <is>
          <t>Done</t>
        </is>
      </c>
      <c r="K1280"/>
      <c r="L1280" s="3" t="str">
        <f>=HYPERLINK("https://www.iphonemod.net/chatgpt-launches-study-mode.html", "https://www.iphonemod.net/chatgpt-launches-study-mode.html")</f>
        <v>https://www.iphonemod.net/chatgpt-launches-study-mode.html</v>
      </c>
      <c r="M1280" t="inlineStr">
        <is>
          <t>1</t>
        </is>
      </c>
      <c r="N1280" t="inlineStr">
        <is>
          <t>AI</t>
        </is>
      </c>
      <c r="O1280"/>
    </row>
    <row r="1281" ht="12.75" customHeight="1">
      <c r="A1281" t="inlineStr">
        <is>
          <t>LG เปิดขาย StandbyME 2 อย่างเป็นทางการในสหรัฐฯ</t>
        </is>
      </c>
      <c r="B1281" t="inlineStr">
        <is>
          <t>Saktaphat Kordjan</t>
        </is>
      </c>
      <c r="C1281" s="2">
        <v>45868</v>
      </c>
      <c r="D1281" s="2"/>
      <c r="E1281" t="inlineStr">
        <is>
          <t>ปกติ</t>
        </is>
      </c>
      <c r="F1281" s="3"/>
      <c r="G1281"/>
      <c r="H1281" t="inlineStr">
        <is>
          <t>Website</t>
        </is>
      </c>
      <c r="I1281" t="inlineStr">
        <is>
          <t>งานประจำวัน</t>
        </is>
      </c>
      <c r="J1281" t="inlineStr">
        <is>
          <t>Done</t>
        </is>
      </c>
      <c r="K1281"/>
      <c r="L1281" s="3"/>
      <c r="M1281" t="inlineStr">
        <is>
          <t>1</t>
        </is>
      </c>
      <c r="N1281" t="inlineStr">
        <is>
          <t>Tech</t>
        </is>
      </c>
      <c r="O1281"/>
    </row>
    <row r="1282" ht="12.75" customHeight="1">
      <c r="A1282" t="inlineStr">
        <is>
          <t>Facebook บน Android ดูคนที่แชร์โพสต์ได้แล้ว</t>
        </is>
      </c>
      <c r="B1282" t="inlineStr">
        <is>
          <t>Saktaphat Kordjan</t>
        </is>
      </c>
      <c r="C1282" s="2">
        <v>45867</v>
      </c>
      <c r="D1282" s="2"/>
      <c r="E1282" t="inlineStr">
        <is>
          <t>ปกติ</t>
        </is>
      </c>
      <c r="F1282" s="3"/>
      <c r="G1282"/>
      <c r="H1282" t="inlineStr">
        <is>
          <t>Pic Posts / Album, Shorts</t>
        </is>
      </c>
      <c r="I1282" t="inlineStr">
        <is>
          <t>เสนอไอเดีย</t>
        </is>
      </c>
      <c r="J1282" t="inlineStr">
        <is>
          <t>Done</t>
        </is>
      </c>
      <c r="K1282"/>
      <c r="L1282" s="3"/>
      <c r="M1282" t="inlineStr">
        <is>
          <t>1</t>
        </is>
      </c>
      <c r="N1282" t="inlineStr">
        <is>
          <t>Android</t>
        </is>
      </c>
      <c r="O1282"/>
    </row>
    <row r="1283" ht="12.75" customHeight="1">
      <c r="A1283" t="inlineStr">
        <is>
          <t>Preview&amp;Review ChatGPT Agent</t>
        </is>
      </c>
      <c r="B1283" t="inlineStr">
        <is>
          <t>Nattida Suriyodara</t>
        </is>
      </c>
      <c r="C1283" s="2">
        <v>45867</v>
      </c>
      <c r="D1283" s="2"/>
      <c r="E1283" t="inlineStr">
        <is>
          <t>ด่วน!</t>
        </is>
      </c>
      <c r="F1283" s="3"/>
      <c r="G1283"/>
      <c r="H1283" t="inlineStr">
        <is>
          <t>YouTube</t>
        </is>
      </c>
      <c r="I1283" t="inlineStr">
        <is>
          <t>งานประจำวัน</t>
        </is>
      </c>
      <c r="J1283" t="inlineStr">
        <is>
          <t>Done</t>
        </is>
      </c>
      <c r="K1283"/>
      <c r="L1283" s="3"/>
      <c r="M1283" t="inlineStr">
        <is>
          <t>1</t>
        </is>
      </c>
      <c r="N1283" t="inlineStr">
        <is>
          <t>AI</t>
        </is>
      </c>
      <c r="O1283"/>
    </row>
    <row r="1284" ht="12.75" customHeight="1">
      <c r="A1284" t="inlineStr">
        <is>
          <t xml:space="preserve">Redmi Note 15 Pro+ มือถือรุ่นแรกของ Redmi ที่รองรับการเชื่อมต่อผ่านดาวเทียม </t>
        </is>
      </c>
      <c r="B1284" t="inlineStr">
        <is>
          <t>Saktaphat Kordjan</t>
        </is>
      </c>
      <c r="C1284" s="2">
        <v>45867</v>
      </c>
      <c r="D1284" s="2"/>
      <c r="E1284" t="inlineStr">
        <is>
          <t>ปกติ</t>
        </is>
      </c>
      <c r="F1284" s="3" t="str">
        <f>=HYPERLINK("https://www.gsmarena.com/note_15_pro_to_be_the_first_redmi_device_introducing_a_new_connectivity_feature-news-68795.php", "https://www.gsmarena.com/note_15_pro_to_be_the_first_redmi_device_introducing_a_new_connectivity_feature-news-68795.php")</f>
        <v>https://www.gsmarena.com/note_15_pro_to_be_the_first_redmi_device_introducing_a_new_connectivity_feature-news-68795.php</v>
      </c>
      <c r="G1284"/>
      <c r="H1284" t="inlineStr">
        <is>
          <t>Website</t>
        </is>
      </c>
      <c r="I1284" t="inlineStr">
        <is>
          <t>งานประจำวัน</t>
        </is>
      </c>
      <c r="J1284" t="inlineStr">
        <is>
          <t>Done</t>
        </is>
      </c>
      <c r="K1284"/>
      <c r="L1284" s="3"/>
      <c r="M1284" t="inlineStr">
        <is>
          <t>1</t>
        </is>
      </c>
      <c r="N1284" t="inlineStr">
        <is>
          <t>Android</t>
        </is>
      </c>
      <c r="O1284"/>
    </row>
    <row r="1285" ht="12.75" customHeight="1">
      <c r="A1285" t="inlineStr">
        <is>
          <t>Sony จดสิทธิบัตร จอยเกม PS แบบแบน ยืด - ดัด - งอ ได้!</t>
        </is>
      </c>
      <c r="B1285" t="inlineStr">
        <is>
          <t>Sasithakan Sritonthip</t>
        </is>
      </c>
      <c r="C1285" s="2">
        <v>45867</v>
      </c>
      <c r="D1285" s="2"/>
      <c r="E1285" t="inlineStr">
        <is>
          <t>ปกติ</t>
        </is>
      </c>
      <c r="F1285" s="3" t="str">
        <f>=HYPERLINK("https://tech4gamers.com/sony-patents-grid-shaped-controller/", "https://tech4gamers.com/sony-patents-grid-shaped-controller/")</f>
        <v>https://tech4gamers.com/sony-patents-grid-shaped-controller/</v>
      </c>
      <c r="G1285"/>
      <c r="H1285" t="inlineStr">
        <is>
          <t>Website</t>
        </is>
      </c>
      <c r="I1285" t="inlineStr">
        <is>
          <t>งานประจำวัน</t>
        </is>
      </c>
      <c r="J1285" t="inlineStr">
        <is>
          <t>Done</t>
        </is>
      </c>
      <c r="K1285"/>
      <c r="L1285" s="3"/>
      <c r="M1285" t="inlineStr">
        <is>
          <t>1</t>
        </is>
      </c>
      <c r="N1285" t="inlineStr">
        <is>
          <t>Tech</t>
        </is>
      </c>
      <c r="O1285"/>
    </row>
    <row r="1286" ht="12.75" customHeight="1">
      <c r="A1286" t="inlineStr">
        <is>
          <t>Apple อาจจะเปลี่ยนไปใช้ชิป intel แทน TSMC</t>
        </is>
      </c>
      <c r="B1286" t="inlineStr">
        <is>
          <t>Sasithakan Sritonthip</t>
        </is>
      </c>
      <c r="C1286" s="2">
        <v>45867</v>
      </c>
      <c r="D1286" s="2"/>
      <c r="E1286" t="inlineStr">
        <is>
          <t>ปกติ</t>
        </is>
      </c>
      <c r="F1286" s="3" t="str">
        <f>=HYPERLINK("https://9to5mac.com/2025/07/25/apple-may-be-intels-last-hope-in-the-foundry-business/", "https://9to5mac.com/2025/07/25/apple-may-be-intels-last-hope-in-the-foundry-business/")</f>
        <v>https://9to5mac.com/2025/07/25/apple-may-be-intels-last-hope-in-the-foundry-business/</v>
      </c>
      <c r="G1286"/>
      <c r="H1286" t="inlineStr">
        <is>
          <t>Website</t>
        </is>
      </c>
      <c r="I1286" t="inlineStr">
        <is>
          <t>งานประจำวัน</t>
        </is>
      </c>
      <c r="J1286" t="inlineStr">
        <is>
          <t>Done</t>
        </is>
      </c>
      <c r="K1286"/>
      <c r="L1286" s="3"/>
      <c r="M1286" t="inlineStr">
        <is>
          <t>1</t>
        </is>
      </c>
      <c r="N1286" t="inlineStr">
        <is>
          <t>Tech, Apple</t>
        </is>
      </c>
      <c r="O1286"/>
    </row>
    <row r="1287" ht="12.75" customHeight="1">
      <c r="A1287" t="inlineStr">
        <is>
          <t>Microsoft เปิดตัวฟีเจอร์ Copilot Mode บน Edge ขับเคลื่อนด้วย AI</t>
        </is>
      </c>
      <c r="B1287" t="inlineStr">
        <is>
          <t>Sasithakan Sritonthip</t>
        </is>
      </c>
      <c r="C1287" s="2">
        <v>45867</v>
      </c>
      <c r="D1287" s="2"/>
      <c r="E1287" t="inlineStr">
        <is>
          <t>ปกติ</t>
        </is>
      </c>
      <c r="F1287" s="3" t="str">
        <f>=HYPERLINK("https://www.reuters.com/business/microsoft-launches-ai-based-copilot-mode-edge-browser-2025-07-28/", "https://www.reuters.com/business/microsoft-launches-ai-based-copilot-mode-edge-browser-2025-07-28/")</f>
        <v>https://www.reuters.com/business/microsoft-launches-ai-based-copilot-mode-edge-browser-2025-07-28/</v>
      </c>
      <c r="G1287"/>
      <c r="H1287" t="inlineStr">
        <is>
          <t>Website</t>
        </is>
      </c>
      <c r="I1287" t="inlineStr">
        <is>
          <t>งานประจำวัน</t>
        </is>
      </c>
      <c r="J1287" t="inlineStr">
        <is>
          <t>Done</t>
        </is>
      </c>
      <c r="K1287"/>
      <c r="L1287" s="3"/>
      <c r="M1287" t="inlineStr">
        <is>
          <t>1</t>
        </is>
      </c>
      <c r="N1287" t="inlineStr">
        <is>
          <t>AI</t>
        </is>
      </c>
      <c r="O1287"/>
    </row>
    <row r="1288" ht="12.75" customHeight="1">
      <c r="A1288" t="inlineStr">
        <is>
          <t xml:space="preserve">Meta ละเมิดลิขสิทธิ์และเผยแพร่สื่อลามกมานานหลายปีเพื่อฝึก AI </t>
        </is>
      </c>
      <c r="B1288" t="inlineStr">
        <is>
          <t>Nattida Suriyodara</t>
        </is>
      </c>
      <c r="C1288" s="2">
        <v>45867</v>
      </c>
      <c r="D1288" s="2"/>
      <c r="E1288" t="inlineStr">
        <is>
          <t>ปกติ</t>
        </is>
      </c>
      <c r="F1288" s="3" t="str">
        <f>=HYPERLINK("https://arstechnica.com/tech-policy/2025/07/meta-pirated-and-seeded-porn-for-years-to-train-ai-lawsuit-says/", "https://arstechnica.com/tech-policy/2025/07/meta-pirated-and-seeded-porn-for-years-to-train-ai-lawsuit-says/")</f>
        <v>https://arstechnica.com/tech-policy/2025/07/meta-pirated-and-seeded-porn-for-years-to-train-ai-lawsuit-says/</v>
      </c>
      <c r="G1288"/>
      <c r="H1288" t="inlineStr">
        <is>
          <t>Website</t>
        </is>
      </c>
      <c r="I1288" t="inlineStr">
        <is>
          <t>งานประจำวัน</t>
        </is>
      </c>
      <c r="J1288" t="inlineStr">
        <is>
          <t>Done</t>
        </is>
      </c>
      <c r="K1288"/>
      <c r="L1288" s="3"/>
      <c r="M1288" t="inlineStr">
        <is>
          <t>1</t>
        </is>
      </c>
      <c r="N1288" t="inlineStr">
        <is>
          <t>AI</t>
        </is>
      </c>
      <c r="O1288"/>
    </row>
    <row r="1289" ht="12.75" customHeight="1">
      <c r="A1289" t="inlineStr">
        <is>
          <t xml:space="preserve">มีรายงานภาพถ่ายการถือ iPhone 17 Pro กลางแจ้ง </t>
        </is>
      </c>
      <c r="B1289" t="inlineStr">
        <is>
          <t>Thitirath Kinaret</t>
        </is>
      </c>
      <c r="C1289" s="2">
        <v>45867</v>
      </c>
      <c r="D1289" s="2">
        <v>45867</v>
      </c>
      <c r="E1289" t="inlineStr">
        <is>
          <t>ปกติ</t>
        </is>
      </c>
      <c r="F1289" s="3" t="str">
        <f>=HYPERLINK("https://www.facebook.com/iPhonemod/posts/pfbid02pnvGpFgnt1goaYpmZpxv1jJGzbWgPLJ12E3NpD6vD6jdbknNdo15mbubZyj3wk7Nl?__cft__[0]=AZVpk2BpUv8u_5baIuq2BRx7KIUH1SrpKDGuqSraozTXKKJivBvOb6avxhVw2_CBhJw6b0QaHdlEYJb0HwNzZ4oIobtnbVEYHq3ki0RkJOfrAITAwB-drSJkUHPhnE3G6cAxKgvSLhqMRzhFgwfE7enI_K3jUZjSVMntj6Snwofh9ZKHGMcSyFVEwxmmlpV2syA&amp;__tn__=%2CO%2CP-R", "https://www.facebook.com/iPhonemod/posts/pfbid02pnvGpFgnt1goaYpmZpxv1jJGzbWgPLJ12E3NpD6vD6jdbknNdo15mbubZyj3wk7Nl?__cft__[0]=AZVpk2BpUv8u_5baIuq2BRx7KIUH1SrpKDGuqSraozTXKKJivBvOb6avxhVw2_CBhJw6b0QaHdlEYJb0HwNzZ4oIobtnbVEYHq3ki0RkJOfrAITAwB-drSJkUHPhnE3G6cAxKgvSLhqMRzhFgwfE7enI_K3jUZjSVMntj6Snwofh9ZKHGMcSyFVEwxmmlpV2syA&amp;__tn__=%2CO%2CP-R")</f>
        <v>https://www.facebook.com/iPhonemod/posts/pfbid02pnvGpFgnt1goaYpmZpxv1jJGzbWgPLJ12E3NpD6vD6jdbknNdo15mbubZyj3wk7Nl?__cft__[0]=AZVpk2BpUv8u_5baIuq2BRx7KIUH1SrpKDGuqSraozTXKKJivBvOb6avxhVw2_CBhJw6b0QaHdlEYJb0HwNzZ4oIobtnbVEYHq3ki0RkJOfrAITAwB-drSJkUHPhnE3G6cAxKgvSLhqMRzhFgwfE7enI_K3jUZjSVMntj6Snwofh9ZKHGMcSyFVEwxmmlpV2syA&amp;__tn__=%2CO%2CP-R</v>
      </c>
      <c r="G1289"/>
      <c r="H1289" t="inlineStr">
        <is>
          <t>Website, Pic Posts / Album</t>
        </is>
      </c>
      <c r="I1289" t="inlineStr">
        <is>
          <t>งานประจำวัน</t>
        </is>
      </c>
      <c r="J1289" t="inlineStr">
        <is>
          <t>Done</t>
        </is>
      </c>
      <c r="K1289"/>
      <c r="L1289" s="3"/>
      <c r="M1289" t="inlineStr">
        <is>
          <t>1</t>
        </is>
      </c>
      <c r="N1289" t="inlineStr">
        <is>
          <t>Apple</t>
        </is>
      </c>
      <c r="O1289"/>
    </row>
    <row r="1290" ht="12.75" customHeight="1">
      <c r="A1290" t="inlineStr">
        <is>
          <t>เปิดตัว HUAWEI nova Y73 สมาร์ทโฟนแบตอึด ดีไซน์หรู
</t>
        </is>
      </c>
      <c r="B1290" t="inlineStr">
        <is>
          <t>Thitirath Kinaret</t>
        </is>
      </c>
      <c r="C1290" s="2">
        <v>45867</v>
      </c>
      <c r="D1290" s="2">
        <v>45867</v>
      </c>
      <c r="E1290" t="inlineStr">
        <is>
          <t>ปกติ</t>
        </is>
      </c>
      <c r="F1290" s="3" t="str">
        <f>=HYPERLINK("https://www.iphonemod.net/huawei-nova-y73-stylish-long-lasting-battery-smartphone.html", "https://www.iphonemod.net/huawei-nova-y73-stylish-long-lasting-battery-smartphone.html")</f>
        <v>https://www.iphonemod.net/huawei-nova-y73-stylish-long-lasting-battery-smartphone.html</v>
      </c>
      <c r="G1290"/>
      <c r="H1290" t="inlineStr">
        <is>
          <t>Website</t>
        </is>
      </c>
      <c r="I1290" t="inlineStr">
        <is>
          <t>งานลูกค้า</t>
        </is>
      </c>
      <c r="J1290" t="inlineStr">
        <is>
          <t>Done</t>
        </is>
      </c>
      <c r="K1290"/>
      <c r="L1290" s="3"/>
      <c r="M1290" t="inlineStr">
        <is>
          <t>1</t>
        </is>
      </c>
      <c r="N1290" t="inlineStr">
        <is>
          <t>PR</t>
        </is>
      </c>
      <c r="O1290" t="inlineStr">
        <is>
          <t>Huawei</t>
        </is>
      </c>
    </row>
    <row r="1291" ht="12.75" customHeight="1">
      <c r="A1291" t="inlineStr">
        <is>
          <t>Galaxy Z Fold 7 แกร่ง! ทนการหักงอด้วยมือเปล่าแบบเต็มแรงได้ (JerryRigEverything)</t>
        </is>
      </c>
      <c r="B1291" t="inlineStr">
        <is>
          <t>Thitirath Kinaret</t>
        </is>
      </c>
      <c r="C1291" s="2">
        <v>45867</v>
      </c>
      <c r="D1291" s="2">
        <v>45867</v>
      </c>
      <c r="E1291" t="inlineStr">
        <is>
          <t>ปกติ</t>
        </is>
      </c>
      <c r="F1291" s="3" t="str">
        <f>=HYPERLINK("https://www.iphonemod.net/galaxy-z-fold-7-passed-durability-test-by-jerryrigeverything.html", "https://www.iphonemod.net/galaxy-z-fold-7-passed-durability-test-by-jerryrigeverything.html")</f>
        <v>https://www.iphonemod.net/galaxy-z-fold-7-passed-durability-test-by-jerryrigeverything.html</v>
      </c>
      <c r="G1291"/>
      <c r="H1291" t="inlineStr">
        <is>
          <t>Website, Pic Posts / Album</t>
        </is>
      </c>
      <c r="I1291" t="inlineStr">
        <is>
          <t>งานประจำวัน</t>
        </is>
      </c>
      <c r="J1291" t="inlineStr">
        <is>
          <t>Done</t>
        </is>
      </c>
      <c r="K1291"/>
      <c r="L1291" s="3"/>
      <c r="M1291" t="inlineStr">
        <is>
          <t>1</t>
        </is>
      </c>
      <c r="N1291" t="inlineStr">
        <is>
          <t>Android</t>
        </is>
      </c>
      <c r="O1291"/>
    </row>
    <row r="1292" ht="12.75" customHeight="1">
      <c r="A1292" t="inlineStr">
        <is>
          <t>F1: The Movie ทำรายได้ทะลุ 509 ล้านดอลลาร์ ขึ้นแท่นภาพยนตร์ทำรายได้สูงสุดของ Apple</t>
        </is>
      </c>
      <c r="B1292" t="inlineStr">
        <is>
          <t>Thitirath Kinaret</t>
        </is>
      </c>
      <c r="C1292" s="2">
        <v>45867</v>
      </c>
      <c r="D1292" s="2">
        <v>45867</v>
      </c>
      <c r="E1292" t="inlineStr">
        <is>
          <t>ปกติ</t>
        </is>
      </c>
      <c r="F1292" s="3" t="str">
        <f>=HYPERLINK("https://www.iphonemod.net/f1-the-movie-grosses-over-509-million-dollar.html", "https://www.iphonemod.net/f1-the-movie-grosses-over-509-million-dollar.html")</f>
        <v>https://www.iphonemod.net/f1-the-movie-grosses-over-509-million-dollar.html</v>
      </c>
      <c r="G1292"/>
      <c r="H1292" t="inlineStr">
        <is>
          <t>Website, Pic Posts / Album</t>
        </is>
      </c>
      <c r="I1292" t="inlineStr">
        <is>
          <t>งานประจำวัน</t>
        </is>
      </c>
      <c r="J1292" t="inlineStr">
        <is>
          <t>Done</t>
        </is>
      </c>
      <c r="K1292"/>
      <c r="L1292" s="3"/>
      <c r="M1292" t="inlineStr">
        <is>
          <t>1</t>
        </is>
      </c>
      <c r="N1292" t="inlineStr">
        <is>
          <t>Apple</t>
        </is>
      </c>
      <c r="O1292"/>
    </row>
    <row r="1293" ht="12.75" customHeight="1">
      <c r="A1293" t="inlineStr">
        <is>
          <t>Google ปรับดีไซน์หน้าแรก Gemini และแถบคำสั่งบน Android</t>
        </is>
      </c>
      <c r="B1293" t="inlineStr">
        <is>
          <t>Saktaphat Kordjan</t>
        </is>
      </c>
      <c r="C1293" s="2">
        <v>45867</v>
      </c>
      <c r="D1293" s="2"/>
      <c r="E1293" t="inlineStr">
        <is>
          <t>ปกติ</t>
        </is>
      </c>
      <c r="F1293" s="3"/>
      <c r="G1293"/>
      <c r="H1293" t="inlineStr">
        <is>
          <t>Website</t>
        </is>
      </c>
      <c r="I1293" t="inlineStr">
        <is>
          <t>งานประจำวัน</t>
        </is>
      </c>
      <c r="J1293" t="inlineStr">
        <is>
          <t>Done</t>
        </is>
      </c>
      <c r="K1293"/>
      <c r="L1293" s="3"/>
      <c r="M1293" t="inlineStr">
        <is>
          <t>1</t>
        </is>
      </c>
      <c r="N1293" t="inlineStr">
        <is>
          <t>Android, AI</t>
        </is>
      </c>
      <c r="O1293"/>
    </row>
    <row r="1294" ht="12.75" customHeight="1">
      <c r="A1294" t="inlineStr">
        <is>
          <t>Insta360 เปิดตัว “Antigravity” แบรนด์โดรนรุ่นใหม่ ถ่าย 360 องศา สร้างมุมมองการบินรูปแบบใหม่!</t>
        </is>
      </c>
      <c r="B1294" t="inlineStr">
        <is>
          <t>Thitirath Kinaret</t>
        </is>
      </c>
      <c r="C1294" s="2">
        <v>45867</v>
      </c>
      <c r="D1294" s="2">
        <v>45867</v>
      </c>
      <c r="E1294" t="inlineStr">
        <is>
          <t>ปกติ</t>
        </is>
      </c>
      <c r="F1294" s="3" t="str">
        <f>=HYPERLINK("https://www.iphonemod.net/insta360-launches-antigravity-drone.html", "https://www.iphonemod.net/insta360-launches-antigravity-drone.html")</f>
        <v>https://www.iphonemod.net/insta360-launches-antigravity-drone.html</v>
      </c>
      <c r="G1294"/>
      <c r="H1294" t="inlineStr">
        <is>
          <t>Website</t>
        </is>
      </c>
      <c r="I1294" t="inlineStr">
        <is>
          <t>งานประจำวัน</t>
        </is>
      </c>
      <c r="J1294" t="inlineStr">
        <is>
          <t>Done</t>
        </is>
      </c>
      <c r="K1294"/>
      <c r="L1294" s="3"/>
      <c r="M1294" t="inlineStr">
        <is>
          <t>1</t>
        </is>
      </c>
      <c r="N1294" t="inlineStr">
        <is>
          <t>Tech</t>
        </is>
      </c>
      <c r="O1294"/>
    </row>
    <row r="1295" ht="12.75" customHeight="1">
      <c r="A1295" t="inlineStr">
        <is>
          <t>Google ยอมรับ ระบบแจ้งเตือนแผ่นดินไหว Android ทำงานผิดพลาด เหตุแผ่นดินไหวตุรกีปี 2023
</t>
        </is>
      </c>
      <c r="B1295" t="inlineStr">
        <is>
          <t>Thitirath Kinaret</t>
        </is>
      </c>
      <c r="C1295" s="2">
        <v>45867</v>
      </c>
      <c r="D1295" s="2">
        <v>45867</v>
      </c>
      <c r="E1295" t="inlineStr">
        <is>
          <t>ปกติ</t>
        </is>
      </c>
      <c r="F1295" s="3" t="str">
        <f>=HYPERLINK("https://www.iphonemod.net/google-said-earthquake-alert-fails-in-turkey-2023.html", "https://www.iphonemod.net/google-said-earthquake-alert-fails-in-turkey-2023.html")</f>
        <v>https://www.iphonemod.net/google-said-earthquake-alert-fails-in-turkey-2023.html</v>
      </c>
      <c r="G1295"/>
      <c r="H1295" t="inlineStr">
        <is>
          <t>Website, Pic Posts / Album</t>
        </is>
      </c>
      <c r="I1295" t="inlineStr">
        <is>
          <t>งานประจำวัน</t>
        </is>
      </c>
      <c r="J1295" t="inlineStr">
        <is>
          <t>Done</t>
        </is>
      </c>
      <c r="K1295"/>
      <c r="L1295" s="3"/>
      <c r="M1295" t="inlineStr">
        <is>
          <t>1</t>
        </is>
      </c>
      <c r="N1295" t="inlineStr">
        <is>
          <t>Android</t>
        </is>
      </c>
      <c r="O1295"/>
    </row>
    <row r="1296" ht="12.75" customHeight="1">
      <c r="A1296" t="inlineStr">
        <is>
          <t>WatchOS 26 บอกระยะ iPhone ที่กำลังตามหา</t>
        </is>
      </c>
      <c r="B1296" t="inlineStr">
        <is>
          <t>Nattida Suriyodara</t>
        </is>
      </c>
      <c r="C1296" s="2">
        <v>45867</v>
      </c>
      <c r="D1296" s="2"/>
      <c r="E1296" t="inlineStr">
        <is>
          <t>ปกติ</t>
        </is>
      </c>
      <c r="F1296" s="3"/>
      <c r="G1296"/>
      <c r="H1296" t="inlineStr">
        <is>
          <t>Shorts</t>
        </is>
      </c>
      <c r="I1296" t="inlineStr">
        <is>
          <t>งานประจำวัน</t>
        </is>
      </c>
      <c r="J1296" t="inlineStr">
        <is>
          <t>Done</t>
        </is>
      </c>
      <c r="K1296" t="inlineStr">
        <is>
          <t>- ลงเฉrาะ TikTok</t>
        </is>
      </c>
      <c r="L1296" s="3"/>
      <c r="M1296" t="inlineStr">
        <is>
          <t>1</t>
        </is>
      </c>
      <c r="N1296" t="inlineStr">
        <is>
          <t>Apple</t>
        </is>
      </c>
      <c r="O1296"/>
    </row>
    <row r="1297" ht="12.75" customHeight="1">
      <c r="A1297" t="inlineStr">
        <is>
          <t>ลือ! iPhone 17 Pro มาพร้อมเลนส์ซูม 8×, แอปกล้องโปร, และปุ่มควบคุมกล้องใหม่
</t>
        </is>
      </c>
      <c r="B1297" t="inlineStr">
        <is>
          <t>Thitirath Kinaret</t>
        </is>
      </c>
      <c r="C1297" s="2">
        <v>45866</v>
      </c>
      <c r="D1297" s="2">
        <v>45866</v>
      </c>
      <c r="E1297" t="inlineStr">
        <is>
          <t>ปกติ</t>
        </is>
      </c>
      <c r="F1297" s="3" t="str">
        <f>=HYPERLINK("https://www.iphonemod.net/iphone-17-pro-rumors-telephoto-8x-new-camera-control-and-more.html", "https://www.iphonemod.net/iphone-17-pro-rumors-telephoto-8x-new-camera-control-and-more.html")</f>
        <v>https://www.iphonemod.net/iphone-17-pro-rumors-telephoto-8x-new-camera-control-and-more.html</v>
      </c>
      <c r="G1297"/>
      <c r="H1297" t="inlineStr">
        <is>
          <t>Website, Pic Posts / Album</t>
        </is>
      </c>
      <c r="I1297" t="inlineStr">
        <is>
          <t>งานประจำวัน</t>
        </is>
      </c>
      <c r="J1297" t="inlineStr">
        <is>
          <t>Done</t>
        </is>
      </c>
      <c r="K1297"/>
      <c r="L1297" s="3"/>
      <c r="M1297" t="inlineStr">
        <is>
          <t>1</t>
        </is>
      </c>
      <c r="N1297" t="inlineStr">
        <is>
          <t>Apple</t>
        </is>
      </c>
      <c r="O1297"/>
    </row>
    <row r="1298" ht="12.75" customHeight="1">
      <c r="A1298" t="inlineStr">
        <is>
          <t>เปิดตัว Qi2 25W ชาร์จไร้สายเร็วสุด 25W ใช้ได้ใน iPhone 16 และ Android บางรุ่น</t>
        </is>
      </c>
      <c r="B1298" t="inlineStr">
        <is>
          <t>Thitirath Kinaret</t>
        </is>
      </c>
      <c r="C1298" s="2">
        <v>45865</v>
      </c>
      <c r="D1298" s="2"/>
      <c r="E1298" t="inlineStr">
        <is>
          <t>ปกติ</t>
        </is>
      </c>
      <c r="F1298" s="3"/>
      <c r="G1298"/>
      <c r="H1298" t="inlineStr">
        <is>
          <t>Pic Posts / Album</t>
        </is>
      </c>
      <c r="I1298" t="inlineStr">
        <is>
          <t>งานประจำวัน</t>
        </is>
      </c>
      <c r="J1298" t="inlineStr">
        <is>
          <t>Done</t>
        </is>
      </c>
      <c r="K1298"/>
      <c r="L1298" s="3"/>
      <c r="M1298" t="inlineStr">
        <is>
          <t>1</t>
        </is>
      </c>
      <c r="N1298" t="inlineStr">
        <is>
          <t>Tech</t>
        </is>
      </c>
      <c r="O1298"/>
    </row>
    <row r="1299" ht="12.75" customHeight="1">
      <c r="A1299" t="inlineStr">
        <is>
          <t>จีนเปิดแผนปฏิบัติการ AI ระดับโลก หลังสหรัฐฯ เดินหน้าอย่างต่อเนื่อง
</t>
        </is>
      </c>
      <c r="B1299" t="inlineStr">
        <is>
          <t>Thitirath Kinaret</t>
        </is>
      </c>
      <c r="C1299" s="2">
        <v>45865</v>
      </c>
      <c r="D1299" s="2">
        <v>45865</v>
      </c>
      <c r="E1299" t="inlineStr">
        <is>
          <t>ปกติ</t>
        </is>
      </c>
      <c r="F1299" s="3"/>
      <c r="G1299"/>
      <c r="H1299" t="inlineStr">
        <is>
          <t>Website</t>
        </is>
      </c>
      <c r="I1299" t="inlineStr">
        <is>
          <t>งานประจำวัน</t>
        </is>
      </c>
      <c r="J1299" t="inlineStr">
        <is>
          <t>Done</t>
        </is>
      </c>
      <c r="K1299"/>
      <c r="L1299" s="3" t="str">
        <f>=HYPERLINK("https://www.iphonemod.net/china-unveils-global-ai-initiative.html", "https://www.iphonemod.net/china-unveils-global-ai-initiative.html")</f>
        <v>https://www.iphonemod.net/china-unveils-global-ai-initiative.html</v>
      </c>
      <c r="M1299" t="inlineStr">
        <is>
          <t>1</t>
        </is>
      </c>
      <c r="N1299" t="inlineStr">
        <is>
          <t>AI</t>
        </is>
      </c>
      <c r="O1299"/>
    </row>
    <row r="1300" ht="12.75" customHeight="1">
      <c r="A1300" t="inlineStr">
        <is>
          <t>Open AI อาจเปิดตัว ChatGPT-5 ภายใน ส.ค. 2025 นี้
</t>
        </is>
      </c>
      <c r="B1300" t="inlineStr">
        <is>
          <t>Thitirath Kinaret</t>
        </is>
      </c>
      <c r="C1300" s="2">
        <v>45864</v>
      </c>
      <c r="D1300" s="2">
        <v>45864</v>
      </c>
      <c r="E1300" t="inlineStr">
        <is>
          <t>ปกติ</t>
        </is>
      </c>
      <c r="F1300" s="3"/>
      <c r="G1300"/>
      <c r="H1300" t="inlineStr">
        <is>
          <t>Website, Pic Posts / Album</t>
        </is>
      </c>
      <c r="I1300" t="inlineStr">
        <is>
          <t>งานประจำวัน</t>
        </is>
      </c>
      <c r="J1300" t="inlineStr">
        <is>
          <t>Done</t>
        </is>
      </c>
      <c r="K1300"/>
      <c r="L1300" s="3"/>
      <c r="M1300" t="inlineStr">
        <is>
          <t>1</t>
        </is>
      </c>
      <c r="N1300" t="inlineStr">
        <is>
          <t>AI</t>
        </is>
      </c>
      <c r="O1300"/>
    </row>
    <row r="1301" ht="12.75" customHeight="1">
      <c r="A1301" t="inlineStr">
        <is>
          <t>Try it on ฟีเจอร์ลองชุดของ Google เริ่มเปิดให้ใช้งานแล้ว</t>
        </is>
      </c>
      <c r="B1301" t="inlineStr">
        <is>
          <t>Nattida Suriyodara</t>
        </is>
      </c>
      <c r="C1301" s="2">
        <v>45863</v>
      </c>
      <c r="D1301" s="2"/>
      <c r="E1301" t="inlineStr">
        <is>
          <t>ปกติ</t>
        </is>
      </c>
      <c r="F1301" s="3" t="str">
        <f>=HYPERLINK("https://finance.yahoo.com/news/google-ai-feature-lets-virtually-130000898.html", "https://finance.yahoo.com/news/google-ai-feature-lets-virtually-130000898.html")</f>
        <v>https://finance.yahoo.com/news/google-ai-feature-lets-virtually-130000898.html</v>
      </c>
      <c r="G1301"/>
      <c r="H1301" t="inlineStr">
        <is>
          <t>Website</t>
        </is>
      </c>
      <c r="I1301" t="inlineStr">
        <is>
          <t>งานประจำวัน</t>
        </is>
      </c>
      <c r="J1301" t="inlineStr">
        <is>
          <t>Done</t>
        </is>
      </c>
      <c r="K1301"/>
      <c r="L1301" s="3"/>
      <c r="M1301" t="inlineStr">
        <is>
          <t>1</t>
        </is>
      </c>
      <c r="N1301" t="inlineStr">
        <is>
          <t>AI</t>
        </is>
      </c>
      <c r="O1301"/>
    </row>
    <row r="1302" ht="12.75" customHeight="1">
      <c r="A1302" t="inlineStr">
        <is>
          <t>1st meet iPadOS 26-ASMR</t>
        </is>
      </c>
      <c r="B1302" t="inlineStr">
        <is>
          <t>Nattida Suriyodara,Sasithakan Sritonthip</t>
        </is>
      </c>
      <c r="C1302" s="2">
        <v>45863</v>
      </c>
      <c r="D1302" s="2"/>
      <c r="E1302" t="inlineStr">
        <is>
          <t>ปกติ</t>
        </is>
      </c>
      <c r="F1302" s="3"/>
      <c r="G1302"/>
      <c r="H1302" t="inlineStr">
        <is>
          <t>Shorts</t>
        </is>
      </c>
      <c r="I1302" t="inlineStr">
        <is>
          <t>งานประจำวัน</t>
        </is>
      </c>
      <c r="J1302" t="inlineStr">
        <is>
          <t>Done</t>
        </is>
      </c>
      <c r="K1302"/>
      <c r="L1302" s="3"/>
      <c r="M1302" t="inlineStr">
        <is>
          <t>1</t>
        </is>
      </c>
      <c r="N1302" t="inlineStr">
        <is>
          <t>Apple</t>
        </is>
      </c>
      <c r="O1302"/>
    </row>
    <row r="1303" ht="12.75" customHeight="1">
      <c r="A1303" t="inlineStr">
        <is>
          <t>วิธีลงทะเบียนติดตั้ง iOS 26</t>
        </is>
      </c>
      <c r="B1303" t="inlineStr">
        <is>
          <t>Nattida Suriyodara,Sasithakan Sritonthip</t>
        </is>
      </c>
      <c r="C1303" s="2">
        <v>45863</v>
      </c>
      <c r="D1303" s="2"/>
      <c r="E1303" t="inlineStr">
        <is>
          <t>ปกติ</t>
        </is>
      </c>
      <c r="F1303" s="3"/>
      <c r="G1303"/>
      <c r="H1303" t="inlineStr">
        <is>
          <t>Shorts</t>
        </is>
      </c>
      <c r="I1303" t="inlineStr">
        <is>
          <t>งานประจำวัน</t>
        </is>
      </c>
      <c r="J1303" t="inlineStr">
        <is>
          <t>Done</t>
        </is>
      </c>
      <c r="K1303"/>
      <c r="L1303" s="3"/>
      <c r="M1303" t="inlineStr">
        <is>
          <t>1</t>
        </is>
      </c>
      <c r="N1303" t="inlineStr">
        <is>
          <t>Apple</t>
        </is>
      </c>
      <c r="O1303"/>
    </row>
    <row r="1304" ht="12.75" customHeight="1">
      <c r="A1304" t="inlineStr">
        <is>
          <t>iOS 26 Public Beta เปิดให้ทดสอบแล้ว</t>
        </is>
      </c>
      <c r="B1304" t="inlineStr">
        <is>
          <t>Thitirath Kinaret</t>
        </is>
      </c>
      <c r="C1304" s="2">
        <v>45863</v>
      </c>
      <c r="D1304" s="2">
        <v>45863</v>
      </c>
      <c r="E1304" t="inlineStr">
        <is>
          <t>ปกติ</t>
        </is>
      </c>
      <c r="F1304" s="3"/>
      <c r="G1304"/>
      <c r="H1304" t="inlineStr">
        <is>
          <t>Website, Pic Posts / Album</t>
        </is>
      </c>
      <c r="I1304" t="inlineStr">
        <is>
          <t>งานประจำวัน</t>
        </is>
      </c>
      <c r="J1304" t="inlineStr">
        <is>
          <t>Done</t>
        </is>
      </c>
      <c r="K1304"/>
      <c r="L1304" s="3"/>
      <c r="M1304" t="inlineStr">
        <is>
          <t>1</t>
        </is>
      </c>
      <c r="N1304" t="inlineStr">
        <is>
          <t>Apple</t>
        </is>
      </c>
      <c r="O1304"/>
    </row>
    <row r="1305" ht="12.75" customHeight="1">
      <c r="A1305" t="inlineStr">
        <is>
          <t>LEGO เปิดตัว LEO Game Boy ตัวต่อสเกล 1:1 เท่ากับเครื่องจริง
</t>
        </is>
      </c>
      <c r="B1305" t="inlineStr">
        <is>
          <t>Thitirath Kinaret</t>
        </is>
      </c>
      <c r="C1305" s="2">
        <v>45863</v>
      </c>
      <c r="D1305" s="2">
        <v>45863</v>
      </c>
      <c r="E1305" t="inlineStr">
        <is>
          <t>ปกติ</t>
        </is>
      </c>
      <c r="F1305" s="3"/>
      <c r="G1305"/>
      <c r="H1305" t="inlineStr">
        <is>
          <t>Website, Pic Posts / Album</t>
        </is>
      </c>
      <c r="I1305" t="inlineStr">
        <is>
          <t>งานประจำวัน</t>
        </is>
      </c>
      <c r="J1305" t="inlineStr">
        <is>
          <t>Done</t>
        </is>
      </c>
      <c r="K1305"/>
      <c r="L1305" s="3"/>
      <c r="M1305" t="inlineStr">
        <is>
          <t>1</t>
        </is>
      </c>
      <c r="N1305" t="inlineStr">
        <is>
          <t>Tech</t>
        </is>
      </c>
      <c r="O1305"/>
    </row>
    <row r="1306" ht="12.75" customHeight="1">
      <c r="A1306" t="inlineStr">
        <is>
          <t>ทีมวิจัย Meta พัฒนาสายรัดข้อมืออัจฉริยะ คุมคอมพิวเตอร์ด้วยท่าทางมือ ผ่านสัญญาณกล้ามเนื้อ
</t>
        </is>
      </c>
      <c r="B1306" t="inlineStr">
        <is>
          <t>Thitirath Kinaret</t>
        </is>
      </c>
      <c r="C1306" s="2">
        <v>45863</v>
      </c>
      <c r="D1306" s="2">
        <v>45863</v>
      </c>
      <c r="E1306" t="inlineStr">
        <is>
          <t>ปกติ</t>
        </is>
      </c>
      <c r="F1306" s="3"/>
      <c r="G1306"/>
      <c r="H1306" t="inlineStr">
        <is>
          <t>Website, Pic Posts / Album</t>
        </is>
      </c>
      <c r="I1306" t="inlineStr">
        <is>
          <t>งานประจำวัน</t>
        </is>
      </c>
      <c r="J1306" t="inlineStr">
        <is>
          <t>Done</t>
        </is>
      </c>
      <c r="K1306"/>
      <c r="L1306" s="3"/>
      <c r="M1306" t="inlineStr">
        <is>
          <t>1</t>
        </is>
      </c>
      <c r="N1306" t="inlineStr">
        <is>
          <t>Tech</t>
        </is>
      </c>
      <c r="O1306"/>
    </row>
    <row r="1307" ht="12.75" customHeight="1">
      <c r="A1307" t="inlineStr">
        <is>
          <t>Apple เปิดตัว AppleCare One คุ้มครองหลายอุปกรณ์ในแผนเดียว</t>
        </is>
      </c>
      <c r="B1307" t="inlineStr">
        <is>
          <t>Thitirath Kinaret</t>
        </is>
      </c>
      <c r="C1307" s="2">
        <v>45862</v>
      </c>
      <c r="D1307" s="2">
        <v>45862</v>
      </c>
      <c r="E1307" t="inlineStr">
        <is>
          <t>ปกติ</t>
        </is>
      </c>
      <c r="F1307" s="3" t="str">
        <f>=HYPERLINK("https://www.facebook.com/iPhonemod/posts/pfbid02miFPwH6u2dW9ZTfXfaJ3faF8dpmuefzKHWNBNJLKboDF6TJJJz9iPMNyN8fsk7Npl", "https://www.facebook.com/iPhonemod/posts/pfbid02miFPwH6u2dW9ZTfXfaJ3faF8dpmuefzKHWNBNJLKboDF6TJJJz9iPMNyN8fsk7Npl")</f>
        <v>https://www.facebook.com/iPhonemod/posts/pfbid02miFPwH6u2dW9ZTfXfaJ3faF8dpmuefzKHWNBNJLKboDF6TJJJz9iPMNyN8fsk7Npl</v>
      </c>
      <c r="G1307"/>
      <c r="H1307" t="inlineStr">
        <is>
          <t>Pic Posts / Album, Website</t>
        </is>
      </c>
      <c r="I1307" t="inlineStr">
        <is>
          <t>งานประจำวัน</t>
        </is>
      </c>
      <c r="J1307" t="inlineStr">
        <is>
          <t>Done</t>
        </is>
      </c>
      <c r="K1307"/>
      <c r="L1307" s="3"/>
      <c r="M1307" t="inlineStr">
        <is>
          <t>1</t>
        </is>
      </c>
      <c r="N1307" t="inlineStr">
        <is>
          <t>Apple</t>
        </is>
      </c>
      <c r="O1307"/>
    </row>
    <row r="1308" ht="12.75" customHeight="1">
      <c r="A1308" t="inlineStr">
        <is>
          <t>Google Photo เพิ่มฟีเจอร์ใหม่</t>
        </is>
      </c>
      <c r="B1308" t="inlineStr">
        <is>
          <t>Nattida Suriyodara</t>
        </is>
      </c>
      <c r="C1308" s="2">
        <v>45862</v>
      </c>
      <c r="D1308" s="2"/>
      <c r="E1308" t="inlineStr">
        <is>
          <t>ปกติ</t>
        </is>
      </c>
      <c r="F1308" s="3"/>
      <c r="G1308"/>
      <c r="H1308" t="inlineStr">
        <is>
          <t>Website</t>
        </is>
      </c>
      <c r="I1308" t="inlineStr">
        <is>
          <t>งานประจำวัน</t>
        </is>
      </c>
      <c r="J1308" t="inlineStr">
        <is>
          <t>Done</t>
        </is>
      </c>
      <c r="K1308" t="inlineStr">
        <is>
          <t>แจ้งว่ามีแล้ว</t>
        </is>
      </c>
      <c r="L1308" s="3" t="str">
        <f>=HYPERLINK("https://www.iphonemod.net/wp-admin/post.php?post=309092&amp;action=edit&amp;classic-editor", "https://www.iphonemod.net/wp-admin/post.php?post=309092&amp;action=edit&amp;classic-editor")</f>
        <v>https://www.iphonemod.net/wp-admin/post.php?post=309092&amp;action=edit&amp;classic-editor</v>
      </c>
      <c r="M1308" t="inlineStr">
        <is>
          <t>1</t>
        </is>
      </c>
      <c r="N1308" t="inlineStr">
        <is>
          <t>AI</t>
        </is>
      </c>
      <c r="O1308"/>
    </row>
    <row r="1309" ht="12.75" customHeight="1">
      <c r="A1309" t="inlineStr">
        <is>
          <t>แนะนำฟีเจอร์ใหม่ Google Photo</t>
        </is>
      </c>
      <c r="B1309" t="inlineStr">
        <is>
          <t>Nattida Suriyodara,Sasithakan Sritonthip</t>
        </is>
      </c>
      <c r="C1309" s="2">
        <v>45862</v>
      </c>
      <c r="D1309" s="2"/>
      <c r="E1309" t="inlineStr">
        <is>
          <t>ปกติ</t>
        </is>
      </c>
      <c r="F1309" s="3" t="str">
        <f>=HYPERLINK("https://blog.google/products/photos/photo-to-video-remix-create-tab/", "https://blog.google/products/photos/photo-to-video-remix-create-tab/https://www.macrumors.com/2025/07/23/google-ai-features-photos-youtube/")</f>
        <v>https://blog.google/products/photos/photo-to-video-remix-create-tab/https://www.macrumors.com/2025/07/23/google-ai-features-photos-youtube/</v>
      </c>
      <c r="G1309"/>
      <c r="H1309" t="inlineStr">
        <is>
          <t>Shorts</t>
        </is>
      </c>
      <c r="I1309" t="inlineStr">
        <is>
          <t>งานประจำวัน</t>
        </is>
      </c>
      <c r="J1309" t="inlineStr">
        <is>
          <t>Done</t>
        </is>
      </c>
      <c r="K1309"/>
      <c r="L1309" s="3"/>
      <c r="M1309" t="inlineStr">
        <is>
          <t>1</t>
        </is>
      </c>
      <c r="N1309" t="inlineStr">
        <is>
          <t>AI</t>
        </is>
      </c>
      <c r="O1309"/>
    </row>
    <row r="1310" ht="12.75" customHeight="1">
      <c r="A1310" t="inlineStr">
        <is>
          <t xml:space="preserve">Nothing Event </t>
        </is>
      </c>
      <c r="B1310" t="inlineStr">
        <is>
          <t>Saktaphat Kordjan</t>
        </is>
      </c>
      <c r="C1310" s="2">
        <v>45862</v>
      </c>
      <c r="D1310" s="2">
        <v>45863</v>
      </c>
      <c r="E1310" t="inlineStr">
        <is>
          <t>ปกติ</t>
        </is>
      </c>
      <c r="F1310" s="3"/>
      <c r="G1310"/>
      <c r="H1310" t="inlineStr">
        <is>
          <t>Event, Shorts</t>
        </is>
      </c>
      <c r="I1310" t="inlineStr">
        <is>
          <t>งานประจำวัน</t>
        </is>
      </c>
      <c r="J1310" t="inlineStr">
        <is>
          <t>Done</t>
        </is>
      </c>
      <c r="K1310"/>
      <c r="L1310" s="3"/>
      <c r="M1310" t="inlineStr">
        <is>
          <t>1</t>
        </is>
      </c>
      <c r="N1310" t="inlineStr">
        <is>
          <t>Android</t>
        </is>
      </c>
      <c r="O1310"/>
    </row>
    <row r="1311" ht="12.75" customHeight="1">
      <c r="A1311" t="inlineStr">
        <is>
          <t>Qi2 25W ชาร์จไร้สายเร็วขึ้น รองรับหลายอุปกรณ์มากขึ้น</t>
        </is>
      </c>
      <c r="B1311" t="inlineStr">
        <is>
          <t>Saktaphat Kordjan</t>
        </is>
      </c>
      <c r="C1311" s="2">
        <v>45862</v>
      </c>
      <c r="D1311" s="2">
        <v>45862</v>
      </c>
      <c r="E1311" t="inlineStr">
        <is>
          <t>ปกติ</t>
        </is>
      </c>
      <c r="F1311" s="3"/>
      <c r="G1311"/>
      <c r="H1311" t="inlineStr">
        <is>
          <t>Website</t>
        </is>
      </c>
      <c r="I1311" t="inlineStr">
        <is>
          <t>งานประจำวัน</t>
        </is>
      </c>
      <c r="J1311" t="inlineStr">
        <is>
          <t>Done</t>
        </is>
      </c>
      <c r="K1311"/>
      <c r="L1311" s="3"/>
      <c r="M1311" t="inlineStr">
        <is>
          <t>1</t>
        </is>
      </c>
      <c r="N1311" t="inlineStr">
        <is>
          <t>Tech</t>
        </is>
      </c>
      <c r="O1311"/>
    </row>
    <row r="1312" ht="12.75" customHeight="1">
      <c r="A1312" t="inlineStr">
        <is>
          <t>Google ปรับกลยุทธ์ เพิ่ม Telephoto ใน Pixel 10 รุ่นมาตรฐาน</t>
        </is>
      </c>
      <c r="B1312" t="inlineStr">
        <is>
          <t>Saktaphat Kordjan</t>
        </is>
      </c>
      <c r="C1312" s="2">
        <v>45862</v>
      </c>
      <c r="D1312" s="2"/>
      <c r="E1312" t="inlineStr">
        <is>
          <t>ปกติ</t>
        </is>
      </c>
      <c r="F1312" s="3"/>
      <c r="G1312"/>
      <c r="H1312" t="inlineStr">
        <is>
          <t>Website</t>
        </is>
      </c>
      <c r="I1312" t="inlineStr">
        <is>
          <t>งานประจำวัน</t>
        </is>
      </c>
      <c r="J1312" t="inlineStr">
        <is>
          <t>Done</t>
        </is>
      </c>
      <c r="K1312"/>
      <c r="L1312" s="3"/>
      <c r="M1312" t="inlineStr">
        <is>
          <t>1</t>
        </is>
      </c>
      <c r="N1312" t="inlineStr">
        <is>
          <t>Android</t>
        </is>
      </c>
      <c r="O1312"/>
    </row>
    <row r="1313" ht="12.75" customHeight="1">
      <c r="A1313" t="inlineStr">
        <is>
          <t>Galaxy S26 Edge จะบางลง พร้อมแบตใหญ่ขึ้น</t>
        </is>
      </c>
      <c r="B1313" t="inlineStr">
        <is>
          <t>Saktaphat Kordjan</t>
        </is>
      </c>
      <c r="C1313" s="2">
        <v>45862</v>
      </c>
      <c r="D1313" s="2">
        <v>45863</v>
      </c>
      <c r="E1313" t="inlineStr">
        <is>
          <t>ปกติ</t>
        </is>
      </c>
      <c r="F1313" s="3"/>
      <c r="G1313"/>
      <c r="H1313" t="inlineStr">
        <is>
          <t>Website</t>
        </is>
      </c>
      <c r="I1313" t="inlineStr">
        <is>
          <t>งานประจำวัน</t>
        </is>
      </c>
      <c r="J1313" t="inlineStr">
        <is>
          <t>Done</t>
        </is>
      </c>
      <c r="K1313"/>
      <c r="L1313" s="3"/>
      <c r="M1313" t="inlineStr">
        <is>
          <t>1</t>
        </is>
      </c>
      <c r="N1313" t="inlineStr">
        <is>
          <t>Android</t>
        </is>
      </c>
      <c r="O1313"/>
    </row>
    <row r="1314" ht="12.75" customHeight="1">
      <c r="A1314" t="inlineStr">
        <is>
          <t>เปิดตัวXiaomi TV Stick รุ่นที่ 2  รองรับ Google TV</t>
        </is>
      </c>
      <c r="B1314" t="inlineStr">
        <is>
          <t>Saktaphat Kordjan</t>
        </is>
      </c>
      <c r="C1314" s="2">
        <v>45862</v>
      </c>
      <c r="D1314" s="2">
        <v>45863</v>
      </c>
      <c r="E1314" t="inlineStr">
        <is>
          <t>ปกติ</t>
        </is>
      </c>
      <c r="F1314" s="3"/>
      <c r="G1314"/>
      <c r="H1314" t="inlineStr">
        <is>
          <t>Website</t>
        </is>
      </c>
      <c r="I1314" t="inlineStr">
        <is>
          <t>งานประจำวัน</t>
        </is>
      </c>
      <c r="J1314" t="inlineStr">
        <is>
          <t>Done</t>
        </is>
      </c>
      <c r="K1314"/>
      <c r="L1314" s="3"/>
      <c r="M1314" t="inlineStr">
        <is>
          <t>1</t>
        </is>
      </c>
      <c r="N1314" t="inlineStr">
        <is>
          <t>Tech</t>
        </is>
      </c>
      <c r="O1314"/>
    </row>
    <row r="1315" ht="12.75" customHeight="1">
      <c r="A1315" t="inlineStr">
        <is>
          <t>บริการดาวเทียม T-Mobile's เปิดตัวอย่างอย่างเป็นทางการพร้อมการรองรับ iPhone</t>
        </is>
      </c>
      <c r="B1315" t="inlineStr">
        <is>
          <t>Sasithakan Sritonthip</t>
        </is>
      </c>
      <c r="C1315" s="2">
        <v>45862</v>
      </c>
      <c r="D1315" s="2"/>
      <c r="E1315" t="inlineStr">
        <is>
          <t>ปกติ</t>
        </is>
      </c>
      <c r="F1315" s="3" t="str">
        <f>=HYPERLINK("https://www.macrumors.com/2025/07/23/t-mobile-starlink-launch/", "https://www.macrumors.com/2025/07/23/t-mobile-starlink-launch/")</f>
        <v>https://www.macrumors.com/2025/07/23/t-mobile-starlink-launch/</v>
      </c>
      <c r="G1315"/>
      <c r="H1315" t="inlineStr">
        <is>
          <t>Website</t>
        </is>
      </c>
      <c r="I1315" t="inlineStr">
        <is>
          <t>งานประจำวัน</t>
        </is>
      </c>
      <c r="J1315" t="inlineStr">
        <is>
          <t>Done</t>
        </is>
      </c>
      <c r="K1315"/>
      <c r="L1315" s="3"/>
      <c r="M1315" t="inlineStr">
        <is>
          <t>1</t>
        </is>
      </c>
      <c r="N1315" t="inlineStr">
        <is>
          <t>Tech</t>
        </is>
      </c>
      <c r="O1315"/>
    </row>
    <row r="1316" ht="12.75" customHeight="1">
      <c r="A1316" t="inlineStr">
        <is>
          <t>แอป Messages บน iOS 26 ปรับปรุงใหม่ ป้องกันการหลอกลวงจากมิจฉาชีพ</t>
        </is>
      </c>
      <c r="B1316" t="inlineStr">
        <is>
          <t>Nattida Suriyodara</t>
        </is>
      </c>
      <c r="C1316" s="2">
        <v>45862</v>
      </c>
      <c r="D1316" s="2"/>
      <c r="E1316" t="inlineStr">
        <is>
          <t>ปกติ</t>
        </is>
      </c>
      <c r="F1316" s="3"/>
      <c r="G1316"/>
      <c r="H1316" t="inlineStr">
        <is>
          <t>Website</t>
        </is>
      </c>
      <c r="I1316" t="inlineStr">
        <is>
          <t>งานประจำวัน</t>
        </is>
      </c>
      <c r="J1316" t="inlineStr">
        <is>
          <t>Done</t>
        </is>
      </c>
      <c r="K1316"/>
      <c r="L1316" s="3"/>
      <c r="M1316" t="inlineStr">
        <is>
          <t>1</t>
        </is>
      </c>
      <c r="N1316" t="inlineStr">
        <is>
          <t>Apple</t>
        </is>
      </c>
      <c r="O1316"/>
    </row>
    <row r="1317" ht="12.75" customHeight="1">
      <c r="A1317" t="inlineStr">
        <is>
          <t>YouTube เปิดทดสอบการแสดงคอมเมนต์แบบใหม่ (คล้าย Reddit) 
</t>
        </is>
      </c>
      <c r="B1317" t="inlineStr">
        <is>
          <t>Thitirath Kinaret</t>
        </is>
      </c>
      <c r="C1317" s="2">
        <v>45862</v>
      </c>
      <c r="D1317" s="2">
        <v>45862</v>
      </c>
      <c r="E1317" t="inlineStr">
        <is>
          <t>ปกติ</t>
        </is>
      </c>
      <c r="F1317" s="3"/>
      <c r="G1317"/>
      <c r="H1317" t="inlineStr">
        <is>
          <t>Pic Posts / Album, Website</t>
        </is>
      </c>
      <c r="I1317" t="inlineStr">
        <is>
          <t>งานประจำวัน</t>
        </is>
      </c>
      <c r="J1317" t="inlineStr">
        <is>
          <t>Done</t>
        </is>
      </c>
      <c r="K1317"/>
      <c r="L1317" s="3"/>
      <c r="M1317" t="inlineStr">
        <is>
          <t>1</t>
        </is>
      </c>
      <c r="N1317" t="inlineStr">
        <is>
          <t>Tech</t>
        </is>
      </c>
      <c r="O1317"/>
    </row>
    <row r="1318" ht="12.75" customHeight="1">
      <c r="A1318" t="inlineStr">
        <is>
          <t>Meta ลบ Instagram มากกว่า 135,000 บัญชี ที่มีพฤติกรรมละเมิดทางเพศเด็ก
</t>
        </is>
      </c>
      <c r="B1318" t="inlineStr">
        <is>
          <t>Thitirath Kinaret</t>
        </is>
      </c>
      <c r="C1318" s="2">
        <v>45862</v>
      </c>
      <c r="D1318" s="2">
        <v>45862</v>
      </c>
      <c r="E1318" t="inlineStr">
        <is>
          <t>ปกติ</t>
        </is>
      </c>
      <c r="F1318" s="3"/>
      <c r="G1318"/>
      <c r="H1318" t="inlineStr">
        <is>
          <t>Website, Pic Posts / Album</t>
        </is>
      </c>
      <c r="I1318" t="inlineStr">
        <is>
          <t>งานประจำวัน</t>
        </is>
      </c>
      <c r="J1318" t="inlineStr">
        <is>
          <t>Done</t>
        </is>
      </c>
      <c r="K1318"/>
      <c r="L1318" s="3"/>
      <c r="M1318" t="inlineStr">
        <is>
          <t>1</t>
        </is>
      </c>
      <c r="N1318" t="inlineStr">
        <is>
          <t>Tech</t>
        </is>
      </c>
      <c r="O1318"/>
    </row>
    <row r="1319" ht="12.75" customHeight="1">
      <c r="A1319" t="inlineStr">
        <is>
          <t>Google เปิดตัวเครื่องมือ AI แปลงรูปภาพเป็นวิดีโอ บน Google Photos และ YouTube Shorts
</t>
        </is>
      </c>
      <c r="B1319" t="inlineStr">
        <is>
          <t>Thitirath Kinaret</t>
        </is>
      </c>
      <c r="C1319" s="2">
        <v>45862</v>
      </c>
      <c r="D1319" s="2">
        <v>45862</v>
      </c>
      <c r="E1319" t="inlineStr">
        <is>
          <t>ปกติ</t>
        </is>
      </c>
      <c r="F1319" s="3"/>
      <c r="G1319"/>
      <c r="H1319" t="inlineStr">
        <is>
          <t>Pic Posts / Album</t>
        </is>
      </c>
      <c r="I1319" t="inlineStr">
        <is>
          <t>งานประจำวัน</t>
        </is>
      </c>
      <c r="J1319" t="inlineStr">
        <is>
          <t>Done</t>
        </is>
      </c>
      <c r="K1319"/>
      <c r="L1319" s="3"/>
      <c r="M1319" t="inlineStr">
        <is>
          <t>1</t>
        </is>
      </c>
      <c r="N1319" t="inlineStr">
        <is>
          <t>AI</t>
        </is>
      </c>
      <c r="O1319"/>
    </row>
    <row r="1320" ht="12.75" customHeight="1">
      <c r="A1320" t="inlineStr">
        <is>
          <t>ฟีเจอร์ให้คะแนนการนอนหลับใน Apple Watch</t>
        </is>
      </c>
      <c r="B1320" t="inlineStr">
        <is>
          <t>Nattida Suriyodara</t>
        </is>
      </c>
      <c r="C1320" s="2">
        <v>45861</v>
      </c>
      <c r="D1320" s="2"/>
      <c r="E1320" t="inlineStr">
        <is>
          <t>ปกติ</t>
        </is>
      </c>
      <c r="F1320" s="3" t="str">
        <f>=HYPERLINK("https://www.macrumors.com/2025/07/22/sleep-score-apple-watch-ios-26/", "https://www.macrumors.com/2025/07/22/sleep-score-apple-watch-ios-26/")</f>
        <v>https://www.macrumors.com/2025/07/22/sleep-score-apple-watch-ios-26/</v>
      </c>
      <c r="G1320"/>
      <c r="H1320" t="inlineStr">
        <is>
          <t>Website</t>
        </is>
      </c>
      <c r="I1320" t="inlineStr">
        <is>
          <t>งานประจำวัน</t>
        </is>
      </c>
      <c r="J1320" t="inlineStr">
        <is>
          <t>Done</t>
        </is>
      </c>
      <c r="K1320"/>
      <c r="L1320" s="3"/>
      <c r="M1320" t="inlineStr">
        <is>
          <t>1</t>
        </is>
      </c>
      <c r="N1320" t="inlineStr">
        <is>
          <t>Apple</t>
        </is>
      </c>
      <c r="O1320"/>
    </row>
    <row r="1321" ht="12.75" customHeight="1">
      <c r="A1321" t="inlineStr">
        <is>
          <t>แนะนำการเขียน Prompt สร้างวิดีโอ</t>
        </is>
      </c>
      <c r="B1321" t="inlineStr">
        <is>
          <t>Nattida Suriyodara,Sasithakan Sritonthip</t>
        </is>
      </c>
      <c r="C1321" s="2">
        <v>45861</v>
      </c>
      <c r="D1321" s="2"/>
      <c r="E1321" t="inlineStr">
        <is>
          <t>ปกติ</t>
        </is>
      </c>
      <c r="F1321" s="3"/>
      <c r="G1321"/>
      <c r="H1321" t="inlineStr">
        <is>
          <t>Shorts</t>
        </is>
      </c>
      <c r="I1321" t="inlineStr">
        <is>
          <t>เสนอไอเดีย</t>
        </is>
      </c>
      <c r="J1321" t="inlineStr">
        <is>
          <t>Done</t>
        </is>
      </c>
      <c r="K1321"/>
      <c r="L1321" s="3"/>
      <c r="M1321" t="inlineStr">
        <is>
          <t>1</t>
        </is>
      </c>
      <c r="N1321" t="inlineStr">
        <is>
          <t>AI</t>
        </is>
      </c>
      <c r="O1321"/>
    </row>
    <row r="1322" ht="12.75" customHeight="1">
      <c r="A1322" t="inlineStr">
        <is>
          <t>HomePod รุ่นใหม่ ที่มาพร้อมหน้าจอ หลังเจอคำใบ้ใน iOS 26 Beta 4</t>
        </is>
      </c>
      <c r="B1322" t="inlineStr">
        <is>
          <t>Sasithakan Sritonthip</t>
        </is>
      </c>
      <c r="C1322" s="2">
        <v>45861</v>
      </c>
      <c r="D1322" s="2"/>
      <c r="E1322" t="inlineStr">
        <is>
          <t>ปกติ</t>
        </is>
      </c>
      <c r="F1322" s="3" t="str">
        <f>=HYPERLINK("https://www.macrumors.com/2025/07/22/homepod-with-display-ios-26/?fbclid=IwY2xjawLtIdRleHRuA2FlbQIxMABicmlkETFJRExTSE9QYjBGMWlmQ25jAR4Hayfnfa_XdRSRlxR3RtcX8ikEgmMRsdWzSsx32CldMn8LSvq_L-uzksKq3A_aem_elf7B83D57wirYT6rgeRHA", "https://www.macrumors.com/2025/07/22/homepod-with-display-ios-26/?fbclid=IwY2xjawLtIdRleHRuA2FlbQIxMABicmlkETFJRExTSE9QYjBGMWlmQ25jAR4Hayfnfa_XdRSRlxR3RtcX8ikEgmMRsdWzSsx32CldMn8LSvq_L-uzksKq3A_aem_elf7B83D57wirYT6rgeRHA")</f>
        <v>https://www.macrumors.com/2025/07/22/homepod-with-display-ios-26/?fbclid=IwY2xjawLtIdRleHRuA2FlbQIxMABicmlkETFJRExTSE9QYjBGMWlmQ25jAR4Hayfnfa_XdRSRlxR3RtcX8ikEgmMRsdWzSsx32CldMn8LSvq_L-uzksKq3A_aem_elf7B83D57wirYT6rgeRHA</v>
      </c>
      <c r="G1322"/>
      <c r="H1322" t="inlineStr">
        <is>
          <t>Website</t>
        </is>
      </c>
      <c r="I1322" t="inlineStr">
        <is>
          <t>งานประจำวัน</t>
        </is>
      </c>
      <c r="J1322" t="inlineStr">
        <is>
          <t>Done</t>
        </is>
      </c>
      <c r="K1322"/>
      <c r="L1322" s="3" t="str">
        <f>=HYPERLINK("https://www.iphonemod.net/new-homepod-may-have-screen.html", "https://www.iphonemod.net/new-homepod-may-have-screen.html")</f>
        <v>https://www.iphonemod.net/new-homepod-may-have-screen.html</v>
      </c>
      <c r="M1322" t="inlineStr">
        <is>
          <t>1</t>
        </is>
      </c>
      <c r="N1322" t="inlineStr">
        <is>
          <t>Apple</t>
        </is>
      </c>
      <c r="O1322"/>
    </row>
    <row r="1323" ht="12.75" customHeight="1">
      <c r="A1323" t="inlineStr">
        <is>
          <t>OnePlus 15 และ Ace 6 อาจเปิดตัวพร้อมกันเดือนตุลาคม</t>
        </is>
      </c>
      <c r="B1323" t="inlineStr">
        <is>
          <t>Saktaphat Kordjan</t>
        </is>
      </c>
      <c r="C1323" s="2">
        <v>45861</v>
      </c>
      <c r="D1323" s="2"/>
      <c r="E1323" t="inlineStr">
        <is>
          <t>ปกติ</t>
        </is>
      </c>
      <c r="F1323" s="3"/>
      <c r="G1323"/>
      <c r="H1323" t="inlineStr">
        <is>
          <t>Website</t>
        </is>
      </c>
      <c r="I1323" t="inlineStr">
        <is>
          <t>งานประจำวัน</t>
        </is>
      </c>
      <c r="J1323" t="inlineStr">
        <is>
          <t>Done</t>
        </is>
      </c>
      <c r="K1323"/>
      <c r="L1323" s="3"/>
      <c r="M1323" t="inlineStr">
        <is>
          <t>1</t>
        </is>
      </c>
      <c r="N1323" t="inlineStr">
        <is>
          <t>Android</t>
        </is>
      </c>
      <c r="O1323"/>
    </row>
    <row r="1324" ht="12.75" customHeight="1">
      <c r="A1324" t="inlineStr">
        <is>
          <t>แอป Be My Eyes</t>
        </is>
      </c>
      <c r="B1324" t="inlineStr">
        <is>
          <t>Nattida Suriyodara,Sasithakan Sritonthip</t>
        </is>
      </c>
      <c r="C1324" s="2">
        <v>45861</v>
      </c>
      <c r="D1324" s="2"/>
      <c r="E1324" t="inlineStr">
        <is>
          <t>ปกติ</t>
        </is>
      </c>
      <c r="F1324" s="3" t="str">
        <f>=HYPERLINK("https://www.facebook.com/share/p/1FFfZpd3Dm/https://www.bemyeyes.com", "https://www.facebook.com/share/p/1FFfZpd3Dm/https://www.bemyeyes.com")</f>
        <v>https://www.facebook.com/share/p/1FFfZpd3Dm/https://www.bemyeyes.com</v>
      </c>
      <c r="G1324"/>
      <c r="H1324" t="inlineStr">
        <is>
          <t>Shorts</t>
        </is>
      </c>
      <c r="I1324" t="inlineStr">
        <is>
          <t>งานประจำวัน</t>
        </is>
      </c>
      <c r="J1324" t="inlineStr">
        <is>
          <t>Done</t>
        </is>
      </c>
      <c r="K1324"/>
      <c r="L1324" s="3"/>
      <c r="M1324" t="inlineStr">
        <is>
          <t>1</t>
        </is>
      </c>
      <c r="N1324" t="inlineStr">
        <is>
          <t>ทั่วไป</t>
        </is>
      </c>
      <c r="O1324"/>
    </row>
    <row r="1325" ht="12.75" customHeight="1">
      <c r="A1325" t="inlineStr">
        <is>
          <t>แอป Be My Eyes</t>
        </is>
      </c>
      <c r="B1325" t="inlineStr">
        <is>
          <t>Sasithakan Sritonthip</t>
        </is>
      </c>
      <c r="C1325" s="2">
        <v>45861</v>
      </c>
      <c r="D1325" s="2"/>
      <c r="E1325" t="inlineStr">
        <is>
          <t>ปกติ</t>
        </is>
      </c>
      <c r="F1325" s="3" t="str">
        <f>=HYPERLINK("https://www.facebook.com/share/p/1FFfZpd3Dm/", "https://www.facebook.com/share/p/1FFfZpd3Dm/https://www.bemyeyes.com")</f>
        <v>https://www.facebook.com/share/p/1FFfZpd3Dm/https://www.bemyeyes.com</v>
      </c>
      <c r="G1325"/>
      <c r="H1325" t="inlineStr">
        <is>
          <t>Website</t>
        </is>
      </c>
      <c r="I1325" t="inlineStr">
        <is>
          <t>งานประจำวัน</t>
        </is>
      </c>
      <c r="J1325" t="inlineStr">
        <is>
          <t>Done</t>
        </is>
      </c>
      <c r="K1325"/>
      <c r="L1325" s="3"/>
      <c r="M1325" t="inlineStr">
        <is>
          <t>1</t>
        </is>
      </c>
      <c r="N1325" t="inlineStr">
        <is>
          <t>ทั่วไป, Tech</t>
        </is>
      </c>
      <c r="O1325"/>
    </row>
    <row r="1326" ht="12.75" customHeight="1">
      <c r="A1326" t="inlineStr">
        <is>
          <t xml:space="preserve">Full Review Nothing Headphone 1 </t>
        </is>
      </c>
      <c r="B1326" t="inlineStr">
        <is>
          <t>Saktaphat Kordjan</t>
        </is>
      </c>
      <c r="C1326" s="2">
        <v>45861</v>
      </c>
      <c r="D1326" s="2"/>
      <c r="E1326" t="inlineStr">
        <is>
          <t>ปกติ</t>
        </is>
      </c>
      <c r="F1326" s="3"/>
      <c r="G1326"/>
      <c r="H1326" t="inlineStr">
        <is>
          <t>YouTube</t>
        </is>
      </c>
      <c r="I1326" t="inlineStr">
        <is>
          <t>งานลูกค้า</t>
        </is>
      </c>
      <c r="J1326" t="inlineStr">
        <is>
          <t>Done</t>
        </is>
      </c>
      <c r="K1326"/>
      <c r="L1326" s="3"/>
      <c r="M1326" t="inlineStr">
        <is>
          <t>1</t>
        </is>
      </c>
      <c r="N1326" t="inlineStr">
        <is>
          <t>Tech</t>
        </is>
      </c>
      <c r="O1326" t="inlineStr">
        <is>
          <t>Nothing</t>
        </is>
      </c>
    </row>
    <row r="1327" ht="12.75" customHeight="1">
      <c r="A1327" t="inlineStr">
        <is>
          <t>สรุปข่าวไอที 23.7.2025</t>
        </is>
      </c>
      <c r="B1327" t="inlineStr">
        <is>
          <t>Saktaphat Kordjan</t>
        </is>
      </c>
      <c r="C1327" s="2">
        <v>45861</v>
      </c>
      <c r="D1327" s="2"/>
      <c r="E1327" t="inlineStr">
        <is>
          <t>ปกติ</t>
        </is>
      </c>
      <c r="F1327" s="3"/>
      <c r="G1327"/>
      <c r="H1327" t="inlineStr">
        <is>
          <t>YouTube</t>
        </is>
      </c>
      <c r="I1327" t="inlineStr">
        <is>
          <t>งานประจำวัน</t>
        </is>
      </c>
      <c r="J1327" t="inlineStr">
        <is>
          <t>Done</t>
        </is>
      </c>
      <c r="K1327"/>
      <c r="L1327" s="3"/>
      <c r="M1327" t="inlineStr">
        <is>
          <t>1</t>
        </is>
      </c>
      <c r="N1327" t="inlineStr">
        <is>
          <t>Android, Tech</t>
        </is>
      </c>
      <c r="O1327"/>
    </row>
    <row r="1328" ht="12.75" customHeight="1">
      <c r="A1328" t="inlineStr">
        <is>
          <t>VSCO Capture เปิดให้ดาวน์โหลดใช้งานได้ทั่วโลกแล้ว!</t>
        </is>
      </c>
      <c r="B1328" t="inlineStr">
        <is>
          <t>Sasithakan Sritonthip</t>
        </is>
      </c>
      <c r="C1328" s="2">
        <v>45861</v>
      </c>
      <c r="D1328" s="2"/>
      <c r="E1328" t="inlineStr">
        <is>
          <t>ปกติ</t>
        </is>
      </c>
      <c r="F1328" s="3" t="str">
        <f>=HYPERLINK("https://9to5mac.com/2025/07/22/vsco-launches-capture-its-iphone-camera-app-with-analog-style-filters/", "https://9to5mac.com/2025/07/22/vsco-launches-capture-its-iphone-camera-app-with-analog-style-filters/")</f>
        <v>https://9to5mac.com/2025/07/22/vsco-launches-capture-its-iphone-camera-app-with-analog-style-filters/</v>
      </c>
      <c r="G1328"/>
      <c r="H1328" t="inlineStr">
        <is>
          <t>Website</t>
        </is>
      </c>
      <c r="I1328" t="inlineStr">
        <is>
          <t>งานประจำวัน</t>
        </is>
      </c>
      <c r="J1328" t="inlineStr">
        <is>
          <t>Done</t>
        </is>
      </c>
      <c r="K1328"/>
      <c r="L1328" s="3"/>
      <c r="M1328" t="inlineStr">
        <is>
          <t>1</t>
        </is>
      </c>
      <c r="N1328" t="inlineStr">
        <is>
          <t>ทั่วไป, Tech</t>
        </is>
      </c>
      <c r="O1328"/>
    </row>
    <row r="1329" ht="12.75" customHeight="1">
      <c r="A1329" t="inlineStr">
        <is>
          <t>YouTube ทดลองคอมเมนต์แบบเธรดสไตล์ Reddit สำหรับสมาชิก Premium</t>
        </is>
      </c>
      <c r="B1329" t="inlineStr">
        <is>
          <t>Saktaphat Kordjan</t>
        </is>
      </c>
      <c r="C1329" s="2">
        <v>45861</v>
      </c>
      <c r="D1329" s="2"/>
      <c r="E1329" t="inlineStr">
        <is>
          <t>ปกติ</t>
        </is>
      </c>
      <c r="F1329" s="3"/>
      <c r="G1329"/>
      <c r="H1329" t="inlineStr">
        <is>
          <t>Website</t>
        </is>
      </c>
      <c r="I1329" t="inlineStr">
        <is>
          <t>งานประจำวัน</t>
        </is>
      </c>
      <c r="J1329" t="inlineStr">
        <is>
          <t>Done</t>
        </is>
      </c>
      <c r="K1329"/>
      <c r="L1329" s="3"/>
      <c r="M1329" t="inlineStr">
        <is>
          <t>1</t>
        </is>
      </c>
      <c r="N1329" t="inlineStr">
        <is>
          <t>ทั่วไป</t>
        </is>
      </c>
      <c r="O1329"/>
    </row>
    <row r="1330" ht="12.75" customHeight="1">
      <c r="A1330" t="inlineStr">
        <is>
          <t>จีนพัฒนาเปิดตัว Walker S2 หุ่นยนต์เปลี่ยนแบตเองได้ ตัวแรกของโลก</t>
        </is>
      </c>
      <c r="B1330" t="inlineStr">
        <is>
          <t>Sasithakan Sritonthip</t>
        </is>
      </c>
      <c r="C1330" s="2">
        <v>45861</v>
      </c>
      <c r="D1330" s="2"/>
      <c r="E1330" t="inlineStr">
        <is>
          <t>ปกติ</t>
        </is>
      </c>
      <c r="F1330" s="3"/>
      <c r="G1330"/>
      <c r="H1330" t="inlineStr">
        <is>
          <t>Website</t>
        </is>
      </c>
      <c r="I1330" t="inlineStr">
        <is>
          <t>งานประจำวัน</t>
        </is>
      </c>
      <c r="J1330" t="inlineStr">
        <is>
          <t>Done</t>
        </is>
      </c>
      <c r="K1330"/>
      <c r="L1330" s="3"/>
      <c r="M1330" t="inlineStr">
        <is>
          <t>1</t>
        </is>
      </c>
      <c r="N1330" t="inlineStr">
        <is>
          <t>Tech</t>
        </is>
      </c>
      <c r="O1330"/>
    </row>
    <row r="1331" ht="12.75" customHeight="1">
      <c r="A1331" t="inlineStr">
        <is>
          <t>แชร์เทคนิคการเขียน Prompt for generate VDO</t>
        </is>
      </c>
      <c r="B1331" t="inlineStr">
        <is>
          <t>Nattida Suriyodara</t>
        </is>
      </c>
      <c r="C1331" s="2">
        <v>45861</v>
      </c>
      <c r="D1331" s="2"/>
      <c r="E1331" t="inlineStr">
        <is>
          <t>ปกติ</t>
        </is>
      </c>
      <c r="F1331" s="3"/>
      <c r="G1331"/>
      <c r="H1331" t="inlineStr">
        <is>
          <t>Website</t>
        </is>
      </c>
      <c r="I1331" t="inlineStr">
        <is>
          <t>งานประจำวัน</t>
        </is>
      </c>
      <c r="J1331" t="inlineStr">
        <is>
          <t>Done</t>
        </is>
      </c>
      <c r="K1331"/>
      <c r="L1331" s="3"/>
      <c r="M1331" t="inlineStr">
        <is>
          <t>1</t>
        </is>
      </c>
      <c r="N1331" t="inlineStr">
        <is>
          <t>AI</t>
        </is>
      </c>
      <c r="O1331"/>
    </row>
    <row r="1332" ht="12.75" customHeight="1">
      <c r="A1332" t="inlineStr">
        <is>
          <t>Nothing Phone 3 Preview</t>
        </is>
      </c>
      <c r="B1332" t="inlineStr">
        <is>
          <t>Saktaphat Kordjan</t>
        </is>
      </c>
      <c r="C1332" s="2">
        <v>45861</v>
      </c>
      <c r="D1332" s="2"/>
      <c r="E1332" t="inlineStr">
        <is>
          <t>ด่วน!</t>
        </is>
      </c>
      <c r="F1332" s="3"/>
      <c r="G1332"/>
      <c r="H1332" t="inlineStr">
        <is>
          <t>YouTube</t>
        </is>
      </c>
      <c r="I1332" t="inlineStr">
        <is>
          <t>งานลูกค้า</t>
        </is>
      </c>
      <c r="J1332" t="inlineStr">
        <is>
          <t>Done</t>
        </is>
      </c>
      <c r="K1332"/>
      <c r="L1332" s="3"/>
      <c r="M1332" t="inlineStr">
        <is>
          <t>1</t>
        </is>
      </c>
      <c r="N1332" t="inlineStr">
        <is>
          <t>Android</t>
        </is>
      </c>
      <c r="O1332" t="inlineStr">
        <is>
          <t>Nothing</t>
        </is>
      </c>
    </row>
    <row r="1333" ht="12.75" customHeight="1">
      <c r="A1333" t="inlineStr">
        <is>
          <t>เผยข้อมูลข่าวลือขนาดหน้าจอของ iPhone จอพับ
</t>
        </is>
      </c>
      <c r="B1333" t="inlineStr">
        <is>
          <t>Thitirath Kinaret</t>
        </is>
      </c>
      <c r="C1333" s="2">
        <v>45861</v>
      </c>
      <c r="D1333" s="2">
        <v>45861</v>
      </c>
      <c r="E1333" t="inlineStr">
        <is>
          <t>ปกติ</t>
        </is>
      </c>
      <c r="F1333" s="3"/>
      <c r="G1333"/>
      <c r="H1333" t="inlineStr">
        <is>
          <t>Website, Pic Posts / Album</t>
        </is>
      </c>
      <c r="I1333" t="inlineStr">
        <is>
          <t>งานประจำวัน</t>
        </is>
      </c>
      <c r="J1333" t="inlineStr">
        <is>
          <t>Done</t>
        </is>
      </c>
      <c r="K1333"/>
      <c r="L1333" s="3"/>
      <c r="M1333" t="inlineStr">
        <is>
          <t>1</t>
        </is>
      </c>
      <c r="N1333" t="inlineStr">
        <is>
          <t>Apple</t>
        </is>
      </c>
      <c r="O1333"/>
    </row>
    <row r="1334" ht="12.75" customHeight="1">
      <c r="A1334" t="inlineStr">
        <is>
          <t>ผู้ใช้ Chrome บน iPhone สามารถสลับบัญชีส่วนตัวและบัญชีทำงาน ได้ง่ายขึ้น</t>
        </is>
      </c>
      <c r="B1334" t="inlineStr">
        <is>
          <t>Nattida Suriyodara</t>
        </is>
      </c>
      <c r="C1334" s="2">
        <v>45860</v>
      </c>
      <c r="D1334" s="2"/>
      <c r="E1334" t="inlineStr">
        <is>
          <t>ปกติ</t>
        </is>
      </c>
      <c r="F1334" s="3" t="str">
        <f>=HYPERLINK("http://ผู้ใช้ Chrome บน iPhone สามารถสลับบัญชีส่วนตัวและบัญชีทำงาน ได้ง่ายขึ้น", "ผู้ใช้ Chrome บน iPhone สามารถสลับบัญชีส่วนตัวและบัญชีทำงาน ได้ง่ายขึ้น")</f>
        <v>ผู้ใช้ Chrome บน iPhone สามารถสลับบัญชีส่วนตัวและบัญชีทำงาน ได้ง่ายขึ้น</v>
      </c>
      <c r="G1334"/>
      <c r="H1334" t="inlineStr">
        <is>
          <t>Website</t>
        </is>
      </c>
      <c r="I1334" t="inlineStr">
        <is>
          <t>งานประจำวัน</t>
        </is>
      </c>
      <c r="J1334" t="inlineStr">
        <is>
          <t>Done</t>
        </is>
      </c>
      <c r="K1334"/>
      <c r="L1334" s="3"/>
      <c r="M1334" t="inlineStr">
        <is>
          <t>1</t>
        </is>
      </c>
      <c r="N1334" t="inlineStr">
        <is>
          <t>Apple</t>
        </is>
      </c>
      <c r="O1334"/>
    </row>
    <row r="1335" ht="12.75" customHeight="1">
      <c r="A1335" t="inlineStr">
        <is>
          <t>Samsung อาจลดสเปควัสดุของ Galaxy Z Fold8</t>
        </is>
      </c>
      <c r="B1335" t="inlineStr">
        <is>
          <t>Saktaphat Kordjan</t>
        </is>
      </c>
      <c r="C1335" s="2">
        <v>45860</v>
      </c>
      <c r="D1335" s="2"/>
      <c r="E1335" t="inlineStr">
        <is>
          <t>ปกติ</t>
        </is>
      </c>
      <c r="F1335" s="3"/>
      <c r="G1335"/>
      <c r="H1335" t="inlineStr">
        <is>
          <t>Website</t>
        </is>
      </c>
      <c r="I1335" t="inlineStr">
        <is>
          <t>งานประจำวัน</t>
        </is>
      </c>
      <c r="J1335" t="inlineStr">
        <is>
          <t>Done</t>
        </is>
      </c>
      <c r="K1335"/>
      <c r="L1335" s="3"/>
      <c r="M1335" t="inlineStr">
        <is>
          <t>1</t>
        </is>
      </c>
      <c r="N1335" t="inlineStr">
        <is>
          <t>Android</t>
        </is>
      </c>
      <c r="O1335"/>
    </row>
    <row r="1336" ht="12.75" customHeight="1">
      <c r="A1336" t="inlineStr">
        <is>
          <t>Google ปล่อยวิดีโอ Pixel 10 เผยดีไซน์ใหม่ เพิ่มกล้องหลังตัวที่สาม</t>
        </is>
      </c>
      <c r="B1336" t="inlineStr">
        <is>
          <t>Saktaphat Kordjan</t>
        </is>
      </c>
      <c r="C1336" s="2">
        <v>45860</v>
      </c>
      <c r="D1336" s="2"/>
      <c r="E1336" t="inlineStr">
        <is>
          <t>ปกติ</t>
        </is>
      </c>
      <c r="F1336" s="3"/>
      <c r="G1336"/>
      <c r="H1336" t="inlineStr">
        <is>
          <t>Website</t>
        </is>
      </c>
      <c r="I1336" t="inlineStr">
        <is>
          <t>งานประจำวัน</t>
        </is>
      </c>
      <c r="J1336" t="inlineStr">
        <is>
          <t>Done</t>
        </is>
      </c>
      <c r="K1336"/>
      <c r="L1336" s="3"/>
      <c r="M1336" t="inlineStr">
        <is>
          <t>1</t>
        </is>
      </c>
      <c r="N1336" t="inlineStr">
        <is>
          <t>Android</t>
        </is>
      </c>
      <c r="O1336"/>
    </row>
    <row r="1337" ht="12.75" customHeight="1">
      <c r="A1337" t="inlineStr">
        <is>
          <t>สัมภาษณ์ ความรู้สึกหลังเล่น Cyberpunk: 2077</t>
        </is>
      </c>
      <c r="B1337" t="inlineStr">
        <is>
          <t>Saktaphat Kordjan,Sasithakan Sritonthip</t>
        </is>
      </c>
      <c r="C1337" s="2">
        <v>45860</v>
      </c>
      <c r="D1337" s="2"/>
      <c r="E1337" t="inlineStr">
        <is>
          <t>ปกติ</t>
        </is>
      </c>
      <c r="F1337" s="3"/>
      <c r="G1337"/>
      <c r="H1337" t="inlineStr">
        <is>
          <t>Shorts</t>
        </is>
      </c>
      <c r="I1337" t="inlineStr">
        <is>
          <t>งานประจำวัน</t>
        </is>
      </c>
      <c r="J1337" t="inlineStr">
        <is>
          <t>Done</t>
        </is>
      </c>
      <c r="K1337"/>
      <c r="L1337" s="3"/>
      <c r="M1337" t="inlineStr">
        <is>
          <t>1</t>
        </is>
      </c>
      <c r="N1337" t="inlineStr">
        <is>
          <t>Apple</t>
        </is>
      </c>
      <c r="O1337"/>
    </row>
    <row r="1338" ht="12.75" customHeight="1">
      <c r="A1338" t="inlineStr">
        <is>
          <t>Apple Sports ขยายการครอบคลุมกีฬาฟุตบอล และเปิดให้บริการในประเทศอื่น ๆ เพิ่มเติม</t>
        </is>
      </c>
      <c r="B1338" t="inlineStr">
        <is>
          <t>Sasithakan Sritonthip</t>
        </is>
      </c>
      <c r="C1338" s="2">
        <v>45860</v>
      </c>
      <c r="D1338" s="2"/>
      <c r="E1338" t="inlineStr">
        <is>
          <t>ปกติ</t>
        </is>
      </c>
      <c r="F1338" s="3"/>
      <c r="G1338"/>
      <c r="H1338" t="inlineStr">
        <is>
          <t>Website</t>
        </is>
      </c>
      <c r="I1338" t="inlineStr">
        <is>
          <t>งานประจำวัน</t>
        </is>
      </c>
      <c r="J1338" t="inlineStr">
        <is>
          <t>Done</t>
        </is>
      </c>
      <c r="K1338"/>
      <c r="L1338" s="3" t="str">
        <f>=HYPERLINK("https://www.iphonemod.net/apple-sports-expands-football-coverage.html", "https://www.iphonemod.net/apple-sports-expands-football-coverage.html")</f>
        <v>https://www.iphonemod.net/apple-sports-expands-football-coverage.html</v>
      </c>
      <c r="M1338" t="inlineStr">
        <is>
          <t>1</t>
        </is>
      </c>
      <c r="N1338" t="inlineStr">
        <is>
          <t>Apple</t>
        </is>
      </c>
      <c r="O1338"/>
    </row>
    <row r="1339" ht="12.75" customHeight="1">
      <c r="A1339" t="inlineStr">
        <is>
          <t>Apple Wallet อัปเกรดฟีเจอร์ติดตามคำสั่งซื้อบน iOS 26 ด้วย AI</t>
        </is>
      </c>
      <c r="B1339" t="inlineStr">
        <is>
          <t>Sasithakan Sritonthip</t>
        </is>
      </c>
      <c r="C1339" s="2">
        <v>45860</v>
      </c>
      <c r="D1339" s="2"/>
      <c r="E1339" t="inlineStr">
        <is>
          <t>ปกติ</t>
        </is>
      </c>
      <c r="F1339" s="3"/>
      <c r="G1339"/>
      <c r="H1339" t="inlineStr">
        <is>
          <t>Website</t>
        </is>
      </c>
      <c r="I1339" t="inlineStr">
        <is>
          <t>งานประจำวัน</t>
        </is>
      </c>
      <c r="J1339" t="inlineStr">
        <is>
          <t>Done</t>
        </is>
      </c>
      <c r="K1339"/>
      <c r="L1339" s="3"/>
      <c r="M1339" t="inlineStr">
        <is>
          <t>1</t>
        </is>
      </c>
      <c r="N1339" t="inlineStr">
        <is>
          <t>Apple</t>
        </is>
      </c>
      <c r="O1339"/>
    </row>
    <row r="1340" ht="12.75" customHeight="1">
      <c r="A1340" t="inlineStr">
        <is>
          <t>HUAWEI Pura80 BaNANA</t>
        </is>
      </c>
      <c r="B1340" t="inlineStr">
        <is>
          <t>Thitirath Kinaret</t>
        </is>
      </c>
      <c r="C1340" s="2">
        <v>45860</v>
      </c>
      <c r="D1340" s="2">
        <v>45861</v>
      </c>
      <c r="E1340" t="inlineStr">
        <is>
          <t>ปกติ</t>
        </is>
      </c>
      <c r="F1340" s="3"/>
      <c r="G1340"/>
      <c r="H1340" t="inlineStr">
        <is>
          <t>Pic Posts / Album</t>
        </is>
      </c>
      <c r="I1340" t="inlineStr">
        <is>
          <t>งานลูกค้า</t>
        </is>
      </c>
      <c r="J1340" t="inlineStr">
        <is>
          <t>Done</t>
        </is>
      </c>
      <c r="K1340"/>
      <c r="L1340" s="3"/>
      <c r="M1340" t="inlineStr">
        <is>
          <t>1</t>
        </is>
      </c>
      <c r="N1340" t="inlineStr">
        <is>
          <t>Android</t>
        </is>
      </c>
      <c r="O1340" t="inlineStr">
        <is>
          <t>Studio 7, BaNANA</t>
        </is>
      </c>
    </row>
    <row r="1341" ht="12.75" customHeight="1">
      <c r="A1341" t="inlineStr">
        <is>
          <t>เทียบเสียง Nothing HP1</t>
        </is>
      </c>
      <c r="B1341" t="inlineStr">
        <is>
          <t>Saktaphat Kordjan</t>
        </is>
      </c>
      <c r="C1341" s="2">
        <v>45860</v>
      </c>
      <c r="D1341" s="2">
        <v>45860</v>
      </c>
      <c r="E1341" t="inlineStr">
        <is>
          <t>ปกติ</t>
        </is>
      </c>
      <c r="F1341" s="3"/>
      <c r="G1341"/>
      <c r="H1341" t="inlineStr">
        <is>
          <t>Shorts</t>
        </is>
      </c>
      <c r="I1341" t="inlineStr">
        <is>
          <t>เสนอไอเดีย</t>
        </is>
      </c>
      <c r="J1341" t="inlineStr">
        <is>
          <t>Done</t>
        </is>
      </c>
      <c r="K1341"/>
      <c r="L1341" s="3"/>
      <c r="M1341" t="inlineStr">
        <is>
          <t>1</t>
        </is>
      </c>
      <c r="N1341" t="inlineStr">
        <is>
          <t>Tech</t>
        </is>
      </c>
      <c r="O1341"/>
    </row>
    <row r="1342" ht="12.75" customHeight="1">
      <c r="A1342" t="inlineStr">
        <is>
          <t xml:space="preserve">BaNANA x Studio7 ลดทลายคลัง 2025 @ร้าน BaNANA Outlet สาขา ซีคอนสแควร์ บางแค ชั้น 3 โซนไอที </t>
        </is>
      </c>
      <c r="B1342" t="inlineStr">
        <is>
          <t>Thitirath Kinaret</t>
        </is>
      </c>
      <c r="C1342" s="2">
        <v>45860</v>
      </c>
      <c r="D1342" s="2">
        <v>45860</v>
      </c>
      <c r="E1342" t="inlineStr">
        <is>
          <t>ปกติ</t>
        </is>
      </c>
      <c r="F1342" s="3"/>
      <c r="G1342"/>
      <c r="H1342" t="inlineStr">
        <is>
          <t>Pic Posts / Album</t>
        </is>
      </c>
      <c r="I1342" t="inlineStr">
        <is>
          <t>งานลูกค้า</t>
        </is>
      </c>
      <c r="J1342" t="inlineStr">
        <is>
          <t>Done</t>
        </is>
      </c>
      <c r="K1342"/>
      <c r="L1342" s="3"/>
      <c r="M1342" t="inlineStr">
        <is>
          <t>1</t>
        </is>
      </c>
      <c r="N1342" t="inlineStr">
        <is>
          <t>ทั่วไป</t>
        </is>
      </c>
      <c r="O1342" t="inlineStr">
        <is>
          <t>BaNANA, Studio 7</t>
        </is>
      </c>
    </row>
    <row r="1343" ht="12.75" customHeight="1">
      <c r="A1343" t="inlineStr">
        <is>
          <t xml:space="preserve"> AIS SIAM แลนด์มาร์กใหม่ใจกลางเมือง ชาวสยามห้ามพลาด!
</t>
        </is>
      </c>
      <c r="B1343" t="inlineStr">
        <is>
          <t>Thitirath Kinaret</t>
        </is>
      </c>
      <c r="C1343" s="2">
        <v>45860</v>
      </c>
      <c r="D1343" s="2">
        <v>45860</v>
      </c>
      <c r="E1343" t="inlineStr">
        <is>
          <t>ปกติ</t>
        </is>
      </c>
      <c r="F1343" s="3"/>
      <c r="G1343"/>
      <c r="H1343" t="inlineStr">
        <is>
          <t>Pic Posts / Album</t>
        </is>
      </c>
      <c r="I1343" t="inlineStr">
        <is>
          <t>งานลูกค้า</t>
        </is>
      </c>
      <c r="J1343" t="inlineStr">
        <is>
          <t>Done</t>
        </is>
      </c>
      <c r="K1343"/>
      <c r="L1343" s="3"/>
      <c r="M1343" t="inlineStr">
        <is>
          <t>1</t>
        </is>
      </c>
      <c r="N1343" t="inlineStr">
        <is>
          <t>ทั่วไป</t>
        </is>
      </c>
      <c r="O1343" t="inlineStr">
        <is>
          <t>AIS</t>
        </is>
      </c>
    </row>
    <row r="1344" ht="12.75" customHeight="1">
      <c r="A1344" t="inlineStr">
        <is>
          <t xml:space="preserve">Studio7 iPad Promotion </t>
        </is>
      </c>
      <c r="B1344" t="inlineStr">
        <is>
          <t>Thitirath Kinaret</t>
        </is>
      </c>
      <c r="C1344" s="2">
        <v>45859</v>
      </c>
      <c r="D1344" s="2">
        <v>45859</v>
      </c>
      <c r="E1344" t="inlineStr">
        <is>
          <t>ปกติ</t>
        </is>
      </c>
      <c r="F1344" s="3"/>
      <c r="G1344"/>
      <c r="H1344" t="inlineStr">
        <is>
          <t>Pic Posts / Album, Event</t>
        </is>
      </c>
      <c r="I1344" t="inlineStr">
        <is>
          <t>งานลูกค้า</t>
        </is>
      </c>
      <c r="J1344" t="inlineStr">
        <is>
          <t>Done</t>
        </is>
      </c>
      <c r="K1344" t="inlineStr">
        <is>
          <t>https://docs.google.com/presentation/d/1kMNVd01FXiL_HeCBPfTZ4SVwFMBuXqy64vBaeRcZcz4/edit?slide=id.p#slide=id.p
https://drive.google.com/drive/folders/1OZhWPD1A1gBZA_40ky1RRB_sUGUMlE-p</t>
        </is>
      </c>
      <c r="L1344" s="3"/>
      <c r="M1344" t="inlineStr">
        <is>
          <t>1</t>
        </is>
      </c>
      <c r="N1344" t="inlineStr">
        <is>
          <t>Apple</t>
        </is>
      </c>
      <c r="O1344" t="inlineStr">
        <is>
          <t>Studio 7</t>
        </is>
      </c>
    </row>
    <row r="1345" ht="12.75" customHeight="1">
      <c r="A1345" t="inlineStr">
        <is>
          <t xml:space="preserve">สิ่งที่ watchOS 26 ทำได้ </t>
        </is>
      </c>
      <c r="B1345" t="inlineStr">
        <is>
          <t>Nattida Suriyodara</t>
        </is>
      </c>
      <c r="C1345" s="2">
        <v>45859</v>
      </c>
      <c r="D1345" s="2"/>
      <c r="E1345" t="inlineStr">
        <is>
          <t>ปกติ</t>
        </is>
      </c>
      <c r="F1345" s="3" t="str">
        <f>=HYPERLINK("https://www.macrumors.com/2025/07/18/watchos-26-new-things-apple-watch-can-do/", "https://www.macrumors.com/2025/07/18/watchos-26-new-things-apple-watch-can-do/")</f>
        <v>https://www.macrumors.com/2025/07/18/watchos-26-new-things-apple-watch-can-do/</v>
      </c>
      <c r="G1345"/>
      <c r="H1345" t="inlineStr">
        <is>
          <t>Website</t>
        </is>
      </c>
      <c r="I1345" t="inlineStr">
        <is>
          <t>งานประจำวัน</t>
        </is>
      </c>
      <c r="J1345" t="inlineStr">
        <is>
          <t>Done</t>
        </is>
      </c>
      <c r="K1345"/>
      <c r="L1345" s="3"/>
      <c r="M1345" t="inlineStr">
        <is>
          <t>1</t>
        </is>
      </c>
      <c r="N1345" t="inlineStr">
        <is>
          <t>Apple</t>
        </is>
      </c>
      <c r="O1345"/>
    </row>
    <row r="1346" ht="12.75" customHeight="1">
      <c r="A1346" t="inlineStr">
        <is>
          <t>iPhone 17 จะมีขอบจอบางลงและ Dynamic Island ดีไซน์ใหม่</t>
        </is>
      </c>
      <c r="B1346" t="inlineStr">
        <is>
          <t>Sasithakan Sritonthip</t>
        </is>
      </c>
      <c r="C1346" s="2">
        <v>45859</v>
      </c>
      <c r="D1346" s="2"/>
      <c r="E1346" t="inlineStr">
        <is>
          <t>ปกติ</t>
        </is>
      </c>
      <c r="F1346" s="3" t="str">
        <f>=HYPERLINK("https://www.macrumors.com/2025/07/19/iphone-17-displays-two-upgrades/", "https://www.macrumors.com/2025/07/19/iphone-17-displays-two-upgrades/")</f>
        <v>https://www.macrumors.com/2025/07/19/iphone-17-displays-two-upgrades/</v>
      </c>
      <c r="G1346"/>
      <c r="H1346" t="inlineStr">
        <is>
          <t>Website</t>
        </is>
      </c>
      <c r="I1346" t="inlineStr">
        <is>
          <t>งานประจำวัน</t>
        </is>
      </c>
      <c r="J1346" t="inlineStr">
        <is>
          <t>Done</t>
        </is>
      </c>
      <c r="K1346"/>
      <c r="L1346" s="3"/>
      <c r="M1346" t="inlineStr">
        <is>
          <t>1</t>
        </is>
      </c>
      <c r="N1346" t="inlineStr">
        <is>
          <t>Apple</t>
        </is>
      </c>
      <c r="O1346"/>
    </row>
    <row r="1347" ht="12.75" customHeight="1">
      <c r="A1347" t="inlineStr">
        <is>
          <t xml:space="preserve">Meta AI </t>
        </is>
      </c>
      <c r="B1347" t="inlineStr">
        <is>
          <t>Nattida Suriyodara</t>
        </is>
      </c>
      <c r="C1347" s="2">
        <v>45859</v>
      </c>
      <c r="D1347" s="2"/>
      <c r="E1347" t="inlineStr">
        <is>
          <t>ปกติ</t>
        </is>
      </c>
      <c r="F1347" s="3" t="str">
        <f>=HYPERLINK("https://www.macrumors.com/2025/07/17/meta-poaches-two-more-apple-ai-executives/", "https://www.macrumors.com/2025/07/17/meta-poaches-two-more-apple-ai-executives/")</f>
        <v>https://www.macrumors.com/2025/07/17/meta-poaches-two-more-apple-ai-executives/</v>
      </c>
      <c r="G1347"/>
      <c r="H1347" t="inlineStr">
        <is>
          <t>Website</t>
        </is>
      </c>
      <c r="I1347" t="inlineStr">
        <is>
          <t>งานประจำวัน</t>
        </is>
      </c>
      <c r="J1347" t="inlineStr">
        <is>
          <t>Done</t>
        </is>
      </c>
      <c r="K1347"/>
      <c r="L1347" s="3"/>
      <c r="M1347" t="inlineStr">
        <is>
          <t>1</t>
        </is>
      </c>
      <c r="N1347" t="inlineStr">
        <is>
          <t>AI, Tech</t>
        </is>
      </c>
      <c r="O1347"/>
    </row>
    <row r="1348" ht="12.75" customHeight="1">
      <c r="A1348" t="inlineStr">
        <is>
          <t>Galaxy Z Fold 8 อาจใช้จอไร้รอยพับแบบเดียวกับ iPhone พับได้</t>
        </is>
      </c>
      <c r="B1348" t="inlineStr">
        <is>
          <t>Saktaphat Kordjan</t>
        </is>
      </c>
      <c r="C1348" s="2">
        <v>45859</v>
      </c>
      <c r="D1348" s="2"/>
      <c r="E1348" t="inlineStr">
        <is>
          <t>ปกติ</t>
        </is>
      </c>
      <c r="F1348" s="3"/>
      <c r="G1348"/>
      <c r="H1348" t="inlineStr">
        <is>
          <t>Website</t>
        </is>
      </c>
      <c r="I1348" t="inlineStr">
        <is>
          <t>งานประจำวัน</t>
        </is>
      </c>
      <c r="J1348" t="inlineStr">
        <is>
          <t>Done</t>
        </is>
      </c>
      <c r="K1348"/>
      <c r="L1348" s="3"/>
      <c r="M1348" t="inlineStr">
        <is>
          <t>1</t>
        </is>
      </c>
      <c r="N1348" t="inlineStr">
        <is>
          <t>Android</t>
        </is>
      </c>
      <c r="O1348"/>
    </row>
    <row r="1349" ht="12.75" customHeight="1">
      <c r="A1349" t="inlineStr">
        <is>
          <t>Galaxy Z Fold 7 อาจเปิดไม่เรียบสนิท แต่ถือเป็นเรื่องปกติ</t>
        </is>
      </c>
      <c r="B1349" t="inlineStr">
        <is>
          <t>Saktaphat Kordjan</t>
        </is>
      </c>
      <c r="C1349" s="2">
        <v>45859</v>
      </c>
      <c r="D1349" s="2"/>
      <c r="E1349" t="inlineStr">
        <is>
          <t>ปกติ</t>
        </is>
      </c>
      <c r="F1349" s="3"/>
      <c r="G1349"/>
      <c r="H1349" t="inlineStr">
        <is>
          <t>Website</t>
        </is>
      </c>
      <c r="I1349" t="inlineStr">
        <is>
          <t>งานประจำวัน</t>
        </is>
      </c>
      <c r="J1349" t="inlineStr">
        <is>
          <t>Done</t>
        </is>
      </c>
      <c r="K1349"/>
      <c r="L1349" s="3"/>
      <c r="M1349" t="inlineStr">
        <is>
          <t>1</t>
        </is>
      </c>
      <c r="N1349" t="inlineStr">
        <is>
          <t>Android</t>
        </is>
      </c>
      <c r="O1349"/>
    </row>
    <row r="1350" ht="12.75" customHeight="1">
      <c r="A1350" t="inlineStr">
        <is>
          <t>รวมข่าวลือ! รายละเอียดสเปก iPhone จอพับรุ่นแรกของ Apple</t>
        </is>
      </c>
      <c r="B1350" t="inlineStr">
        <is>
          <t>Sasithakan Sritonthip</t>
        </is>
      </c>
      <c r="C1350" s="2">
        <v>45859</v>
      </c>
      <c r="D1350" s="2"/>
      <c r="E1350" t="inlineStr">
        <is>
          <t>ปกติ</t>
        </is>
      </c>
      <c r="F1350" s="3" t="str">
        <f>=HYPERLINK("https://www.macrumors.com/2025/07/17/2026-foldable-iphone-leak-roundup/", "https://www.macrumors.com/2025/07/17/2026-foldable-iphone-leak-roundup/")</f>
        <v>https://www.macrumors.com/2025/07/17/2026-foldable-iphone-leak-roundup/</v>
      </c>
      <c r="G1350"/>
      <c r="H1350" t="inlineStr">
        <is>
          <t>Website</t>
        </is>
      </c>
      <c r="I1350" t="inlineStr">
        <is>
          <t>งานประจำวัน</t>
        </is>
      </c>
      <c r="J1350" t="inlineStr">
        <is>
          <t>Done</t>
        </is>
      </c>
      <c r="K1350"/>
      <c r="L1350" s="3" t="str">
        <f>=HYPERLINK("https://www.iphonemod.net/wp-admin/post.php?post=308713&amp;action=edit&amp;classic-editor", "https://www.iphonemod.net/wp-admin/post.php?post=308713&amp;action=edit&amp;classic-editor")</f>
        <v>https://www.iphonemod.net/wp-admin/post.php?post=308713&amp;action=edit&amp;classic-editor</v>
      </c>
      <c r="M1350" t="inlineStr">
        <is>
          <t>1</t>
        </is>
      </c>
      <c r="N1350" t="inlineStr">
        <is>
          <t>Apple</t>
        </is>
      </c>
      <c r="O1350"/>
    </row>
    <row r="1351" ht="12.75" customHeight="1">
      <c r="A1351" t="inlineStr">
        <is>
          <t>แชร์ประสบการณ์ หลังใช้ Veo 3</t>
        </is>
      </c>
      <c r="B1351" t="inlineStr">
        <is>
          <t>Nattida Suriyodara,Sasithakan Sritonthip</t>
        </is>
      </c>
      <c r="C1351" s="2">
        <v>45859</v>
      </c>
      <c r="D1351" s="2"/>
      <c r="E1351" t="inlineStr">
        <is>
          <t>ปกติ</t>
        </is>
      </c>
      <c r="F1351" s="3"/>
      <c r="G1351"/>
      <c r="H1351" t="inlineStr">
        <is>
          <t>Shorts</t>
        </is>
      </c>
      <c r="I1351" t="inlineStr">
        <is>
          <t>งานประจำวัน</t>
        </is>
      </c>
      <c r="J1351" t="inlineStr">
        <is>
          <t>Done</t>
        </is>
      </c>
      <c r="K1351"/>
      <c r="L1351" s="3"/>
      <c r="M1351" t="inlineStr">
        <is>
          <t>1</t>
        </is>
      </c>
      <c r="N1351" t="inlineStr">
        <is>
          <t>AI</t>
        </is>
      </c>
      <c r="O1351"/>
    </row>
    <row r="1352" ht="12.75" customHeight="1">
      <c r="A1352" t="inlineStr">
        <is>
          <t>เปิดตัว Doogee S200 Max สมาร์ตโฟนอึดถึกทน</t>
        </is>
      </c>
      <c r="B1352" t="inlineStr">
        <is>
          <t>Saktaphat Kordjan</t>
        </is>
      </c>
      <c r="C1352" s="2">
        <v>45859</v>
      </c>
      <c r="D1352" s="2"/>
      <c r="E1352" t="inlineStr">
        <is>
          <t>ปกติ</t>
        </is>
      </c>
      <c r="F1352" s="3"/>
      <c r="G1352"/>
      <c r="H1352" t="inlineStr">
        <is>
          <t>Website</t>
        </is>
      </c>
      <c r="I1352" t="inlineStr">
        <is>
          <t>งานประจำวัน</t>
        </is>
      </c>
      <c r="J1352" t="inlineStr">
        <is>
          <t>Done</t>
        </is>
      </c>
      <c r="K1352"/>
      <c r="L1352" s="3"/>
      <c r="M1352" t="inlineStr">
        <is>
          <t>1</t>
        </is>
      </c>
      <c r="N1352" t="inlineStr">
        <is>
          <t>Android</t>
        </is>
      </c>
      <c r="O1352"/>
    </row>
    <row r="1353" ht="12.75" customHeight="1">
      <c r="A1353" t="inlineStr">
        <is>
          <t>แฮกเกอร์โจมตี SharePoint ด้วยช่องโหว่ Zero-Day</t>
        </is>
      </c>
      <c r="B1353" t="inlineStr">
        <is>
          <t>Saktaphat Kordjan</t>
        </is>
      </c>
      <c r="C1353" s="2">
        <v>45859</v>
      </c>
      <c r="D1353" s="2"/>
      <c r="E1353" t="inlineStr">
        <is>
          <t>ปกติ</t>
        </is>
      </c>
      <c r="F1353" s="3"/>
      <c r="G1353"/>
      <c r="H1353" t="inlineStr">
        <is>
          <t>Website</t>
        </is>
      </c>
      <c r="I1353" t="inlineStr">
        <is>
          <t>งานประจำวัน</t>
        </is>
      </c>
      <c r="J1353" t="inlineStr">
        <is>
          <t>Done</t>
        </is>
      </c>
      <c r="K1353"/>
      <c r="L1353" s="3"/>
      <c r="M1353" t="inlineStr">
        <is>
          <t>1</t>
        </is>
      </c>
      <c r="N1353" t="inlineStr">
        <is>
          <t>Tech</t>
        </is>
      </c>
      <c r="O1353"/>
    </row>
    <row r="1354" ht="12.75" customHeight="1">
      <c r="A1354" t="inlineStr">
        <is>
          <t xml:space="preserve">เปิดตัว ChatGPT Agent </t>
        </is>
      </c>
      <c r="B1354" t="inlineStr">
        <is>
          <t>Nattida Suriyodara</t>
        </is>
      </c>
      <c r="C1354" s="2">
        <v>45856</v>
      </c>
      <c r="D1354" s="2"/>
      <c r="E1354" t="inlineStr">
        <is>
          <t>ด่วน!</t>
        </is>
      </c>
      <c r="F1354" s="3" t="str">
        <f>=HYPERLINK("https://openai.com/index/introducing-chatgpt-agent/", "https://openai.com/index/introducing-chatgpt-agent/")</f>
        <v>https://openai.com/index/introducing-chatgpt-agent/</v>
      </c>
      <c r="G1354"/>
      <c r="H1354" t="inlineStr">
        <is>
          <t>Website</t>
        </is>
      </c>
      <c r="I1354" t="inlineStr">
        <is>
          <t>งานประจำวัน</t>
        </is>
      </c>
      <c r="J1354" t="inlineStr">
        <is>
          <t>Done</t>
        </is>
      </c>
      <c r="K1354"/>
      <c r="L1354" s="3"/>
      <c r="M1354" t="inlineStr">
        <is>
          <t>1</t>
        </is>
      </c>
      <c r="N1354" t="inlineStr">
        <is>
          <t>AI</t>
        </is>
      </c>
      <c r="O1354"/>
    </row>
    <row r="1355" ht="12.75" customHeight="1">
      <c r="A1355" t="inlineStr">
        <is>
          <t>Honor Magic V5 เตรียมเปิดตัวในยุโรป</t>
        </is>
      </c>
      <c r="B1355" t="inlineStr">
        <is>
          <t>Saktaphat Kordjan</t>
        </is>
      </c>
      <c r="C1355" s="2">
        <v>45856</v>
      </c>
      <c r="D1355" s="2"/>
      <c r="E1355" t="inlineStr">
        <is>
          <t>ปกติ</t>
        </is>
      </c>
      <c r="F1355" s="3" t="str">
        <f>=HYPERLINK("https://www.gsmarena.com/honor_magic_v5_romania_europe_launch_date-news-68668.php", "https://www.gsmarena.com/honor_magic_v5_romania_europe_launch_date-news-68668.php")</f>
        <v>https://www.gsmarena.com/honor_magic_v5_romania_europe_launch_date-news-68668.php</v>
      </c>
      <c r="G1355"/>
      <c r="H1355" t="inlineStr">
        <is>
          <t>Website</t>
        </is>
      </c>
      <c r="I1355" t="inlineStr">
        <is>
          <t>งานประจำวัน</t>
        </is>
      </c>
      <c r="J1355" t="inlineStr">
        <is>
          <t>Done</t>
        </is>
      </c>
      <c r="K1355"/>
      <c r="L1355" s="3"/>
      <c r="M1355" t="inlineStr">
        <is>
          <t>1</t>
        </is>
      </c>
      <c r="N1355" t="inlineStr">
        <is>
          <t>Android</t>
        </is>
      </c>
      <c r="O1355"/>
    </row>
    <row r="1356" ht="12.75" customHeight="1">
      <c r="A1356" t="inlineStr">
        <is>
          <t>Apple Arcade จัดอัปเดตคอลแลปธีม SpongeBob: SquarePants ให้กับหลาย ๆ เกมภายในแอป</t>
        </is>
      </c>
      <c r="B1356" t="inlineStr">
        <is>
          <t>Sasithakan Sritonthip</t>
        </is>
      </c>
      <c r="C1356" s="2">
        <v>45856</v>
      </c>
      <c r="D1356" s="2"/>
      <c r="E1356" t="inlineStr">
        <is>
          <t>ปกติ</t>
        </is>
      </c>
      <c r="F1356" s="3" t="str">
        <f>=HYPERLINK("https://www.apple.com/th/newsroom/2025/07/apple-arcade-launches-special-crossover-events-featuring-spongebob-squarepants/", "https://www.apple.com/th/newsroom/2025/07/apple-arcade-launches-special-crossover-events-featuring-spongebob-squarepants/")</f>
        <v>https://www.apple.com/th/newsroom/2025/07/apple-arcade-launches-special-crossover-events-featuring-spongebob-squarepants/</v>
      </c>
      <c r="G1356"/>
      <c r="H1356" t="inlineStr">
        <is>
          <t>Website</t>
        </is>
      </c>
      <c r="I1356" t="inlineStr">
        <is>
          <t>งานลูกค้า</t>
        </is>
      </c>
      <c r="J1356" t="inlineStr">
        <is>
          <t>Done</t>
        </is>
      </c>
      <c r="K1356"/>
      <c r="L1356" s="3"/>
      <c r="M1356" t="inlineStr">
        <is>
          <t>1</t>
        </is>
      </c>
      <c r="N1356" t="inlineStr">
        <is>
          <t>PR, Apple</t>
        </is>
      </c>
      <c r="O1356"/>
    </row>
    <row r="1357" ht="12.75" customHeight="1">
      <c r="A1357" t="inlineStr">
        <is>
          <t>RedMagic Astra แท็บเล็ตเกมมิ่ง เปิดตัวเวอร์ชัน Global แล้ว</t>
        </is>
      </c>
      <c r="B1357" t="inlineStr">
        <is>
          <t>Saktaphat Kordjan</t>
        </is>
      </c>
      <c r="C1357" s="2">
        <v>45856</v>
      </c>
      <c r="D1357" s="2"/>
      <c r="E1357" t="inlineStr">
        <is>
          <t>ปกติ</t>
        </is>
      </c>
      <c r="F1357" s="3"/>
      <c r="G1357"/>
      <c r="H1357" t="inlineStr">
        <is>
          <t>Website</t>
        </is>
      </c>
      <c r="I1357" t="inlineStr">
        <is>
          <t>งานประจำวัน</t>
        </is>
      </c>
      <c r="J1357" t="inlineStr">
        <is>
          <t>Done</t>
        </is>
      </c>
      <c r="K1357"/>
      <c r="L1357" s="3"/>
      <c r="M1357" t="inlineStr">
        <is>
          <t>1</t>
        </is>
      </c>
      <c r="N1357" t="inlineStr">
        <is>
          <t>Android</t>
        </is>
      </c>
      <c r="O1357"/>
    </row>
    <row r="1358" ht="12.75" customHeight="1">
      <c r="A1358" t="inlineStr">
        <is>
          <t>เปิดตัว ChatGPT agent</t>
        </is>
      </c>
      <c r="B1358" t="inlineStr">
        <is>
          <t>Nattida Suriyodara,Sasithakan Sritonthip</t>
        </is>
      </c>
      <c r="C1358" s="2">
        <v>45856</v>
      </c>
      <c r="D1358" s="2"/>
      <c r="E1358" t="inlineStr">
        <is>
          <t>ปกติ</t>
        </is>
      </c>
      <c r="F1358" s="3"/>
      <c r="G1358"/>
      <c r="H1358" t="inlineStr">
        <is>
          <t>Shorts</t>
        </is>
      </c>
      <c r="I1358" t="inlineStr">
        <is>
          <t>งานประจำวัน</t>
        </is>
      </c>
      <c r="J1358" t="inlineStr">
        <is>
          <t>Done</t>
        </is>
      </c>
      <c r="K1358" t="inlineStr">
        <is>
          <t>- คืออะไร
- ทำอะไรได้บ้าง 
- ใช้งานผ่านอะไร
- เงื่อนไขการใช้งาน</t>
        </is>
      </c>
      <c r="L1358" s="3"/>
      <c r="M1358" t="inlineStr">
        <is>
          <t>1</t>
        </is>
      </c>
      <c r="N1358" t="inlineStr">
        <is>
          <t>AI</t>
        </is>
      </c>
      <c r="O1358"/>
    </row>
    <row r="1359" ht="12.75" customHeight="1">
      <c r="A1359" t="inlineStr">
        <is>
          <t>รีวิว Vivo X200 FE ตะลุยถ่ายรูป แชร์ประสบการณ์การใช้งานจากคนไม่เคยใช้</t>
        </is>
      </c>
      <c r="B1359" t="inlineStr">
        <is>
          <t>Saktaphat Kordjan,Thitirath Kinaret</t>
        </is>
      </c>
      <c r="C1359" s="2">
        <v>45856</v>
      </c>
      <c r="D1359" s="2"/>
      <c r="E1359" t="inlineStr">
        <is>
          <t>ปกติ</t>
        </is>
      </c>
      <c r="F1359" s="3"/>
      <c r="G1359"/>
      <c r="H1359" t="inlineStr">
        <is>
          <t>Pic Posts / Album, Website, Shorts</t>
        </is>
      </c>
      <c r="I1359" t="inlineStr">
        <is>
          <t>งานประจำวัน</t>
        </is>
      </c>
      <c r="J1359" t="inlineStr">
        <is>
          <t>Done</t>
        </is>
      </c>
      <c r="K1359"/>
      <c r="L1359" s="3"/>
      <c r="M1359" t="inlineStr">
        <is>
          <t>1</t>
        </is>
      </c>
      <c r="N1359" t="inlineStr">
        <is>
          <t>Android</t>
        </is>
      </c>
      <c r="O1359"/>
    </row>
    <row r="1360" ht="12.75" customHeight="1">
      <c r="A1360" t="inlineStr">
        <is>
          <t>Veo 3 ใช้งานได้แล้ว</t>
        </is>
      </c>
      <c r="B1360" t="inlineStr">
        <is>
          <t>Nattida Suriyodara</t>
        </is>
      </c>
      <c r="C1360" s="2">
        <v>45856</v>
      </c>
      <c r="D1360" s="2"/>
      <c r="E1360" t="inlineStr">
        <is>
          <t>ปกติ</t>
        </is>
      </c>
      <c r="F1360" s="3"/>
      <c r="G1360"/>
      <c r="H1360" t="inlineStr">
        <is>
          <t>Shorts</t>
        </is>
      </c>
      <c r="I1360" t="inlineStr">
        <is>
          <t>งานประจำวัน</t>
        </is>
      </c>
      <c r="J1360" t="inlineStr">
        <is>
          <t>Done</t>
        </is>
      </c>
      <c r="K1360" t="inlineStr">
        <is>
          <t>- ลงเฉพาะ TikTok</t>
        </is>
      </c>
      <c r="L1360" s="3"/>
      <c r="M1360" t="inlineStr">
        <is>
          <t>1</t>
        </is>
      </c>
      <c r="N1360" t="inlineStr">
        <is>
          <t>AI</t>
        </is>
      </c>
      <c r="O1360"/>
    </row>
    <row r="1361" ht="12.75" customHeight="1">
      <c r="A1361" t="inlineStr">
        <is>
          <t>MedGemma</t>
        </is>
      </c>
      <c r="B1361" t="inlineStr">
        <is>
          <t>Nattida Suriyodara</t>
        </is>
      </c>
      <c r="C1361" s="2">
        <v>45856</v>
      </c>
      <c r="D1361" s="2"/>
      <c r="E1361" t="inlineStr">
        <is>
          <t>ปกติ</t>
        </is>
      </c>
      <c r="F1361" s="3"/>
      <c r="G1361"/>
      <c r="H1361" t="inlineStr">
        <is>
          <t>Website</t>
        </is>
      </c>
      <c r="I1361" t="inlineStr">
        <is>
          <t>งานประจำวัน</t>
        </is>
      </c>
      <c r="J1361" t="inlineStr">
        <is>
          <t>Done</t>
        </is>
      </c>
      <c r="K1361"/>
      <c r="L1361" s="3"/>
      <c r="M1361" t="inlineStr">
        <is>
          <t>1</t>
        </is>
      </c>
      <c r="N1361" t="inlineStr">
        <is>
          <t>AI</t>
        </is>
      </c>
      <c r="O1361"/>
    </row>
    <row r="1362" ht="12.75" customHeight="1">
      <c r="A1362" t="inlineStr">
        <is>
          <t xml:space="preserve">Huawei เตรียมเปิดตัว Mate XT 2 </t>
        </is>
      </c>
      <c r="B1362" t="inlineStr">
        <is>
          <t>Saktaphat Kordjan</t>
        </is>
      </c>
      <c r="C1362" s="2">
        <v>45856</v>
      </c>
      <c r="D1362" s="2"/>
      <c r="E1362" t="inlineStr">
        <is>
          <t>ปกติ</t>
        </is>
      </c>
      <c r="F1362" s="3"/>
      <c r="G1362"/>
      <c r="H1362" t="inlineStr">
        <is>
          <t>Website</t>
        </is>
      </c>
      <c r="I1362" t="inlineStr">
        <is>
          <t>งานประจำวัน</t>
        </is>
      </c>
      <c r="J1362" t="inlineStr">
        <is>
          <t>Done</t>
        </is>
      </c>
      <c r="K1362"/>
      <c r="L1362" s="3"/>
      <c r="M1362" t="inlineStr">
        <is>
          <t>1</t>
        </is>
      </c>
      <c r="N1362" t="inlineStr">
        <is>
          <t>Android</t>
        </is>
      </c>
      <c r="O1362"/>
    </row>
    <row r="1363" ht="12.75" customHeight="1">
      <c r="A1363" t="inlineStr">
        <is>
          <t>หลุดสเปคกล้อง Vivo X300 Pro มาพร้อมกล้อง Periscope 200MP</t>
        </is>
      </c>
      <c r="B1363" t="inlineStr">
        <is>
          <t>Saktaphat Kordjan</t>
        </is>
      </c>
      <c r="C1363" s="2">
        <v>45855</v>
      </c>
      <c r="D1363" s="2"/>
      <c r="E1363" t="inlineStr">
        <is>
          <t>ปกติ</t>
        </is>
      </c>
      <c r="F1363" s="3"/>
      <c r="G1363"/>
      <c r="H1363" t="inlineStr">
        <is>
          <t>Website</t>
        </is>
      </c>
      <c r="I1363" t="inlineStr">
        <is>
          <t>งานประจำวัน</t>
        </is>
      </c>
      <c r="J1363" t="inlineStr">
        <is>
          <t>Done</t>
        </is>
      </c>
      <c r="K1363"/>
      <c r="L1363" s="3"/>
      <c r="M1363" t="inlineStr">
        <is>
          <t>1</t>
        </is>
      </c>
      <c r="N1363" t="inlineStr">
        <is>
          <t>Android</t>
        </is>
      </c>
      <c r="O1363"/>
    </row>
    <row r="1364" ht="12.75" customHeight="1">
      <c r="A1364" t="inlineStr">
        <is>
          <t>iPhone 17 Pro อาจใช้หน้าจอกันแสงสะท้อนแบบใหม่</t>
        </is>
      </c>
      <c r="B1364" t="inlineStr">
        <is>
          <t>Sasithakan Sritonthip</t>
        </is>
      </c>
      <c r="C1364" s="2">
        <v>45855</v>
      </c>
      <c r="D1364" s="2"/>
      <c r="E1364" t="inlineStr">
        <is>
          <t>ปกติ</t>
        </is>
      </c>
      <c r="F1364" s="3" t="str">
        <f>=HYPERLINK("https://www.macrumors.com/2025/07/16/iphone-17-pro-anti-reflective-display/", "https://www.macrumors.com/2025/07/16/iphone-17-pro-anti-reflective-display/")</f>
        <v>https://www.macrumors.com/2025/07/16/iphone-17-pro-anti-reflective-display/</v>
      </c>
      <c r="G1364"/>
      <c r="H1364" t="inlineStr">
        <is>
          <t>Website</t>
        </is>
      </c>
      <c r="I1364" t="inlineStr">
        <is>
          <t>งานประจำวัน</t>
        </is>
      </c>
      <c r="J1364" t="inlineStr">
        <is>
          <t>Done</t>
        </is>
      </c>
      <c r="K1364"/>
      <c r="L1364" s="3"/>
      <c r="M1364" t="inlineStr">
        <is>
          <t>1</t>
        </is>
      </c>
      <c r="N1364" t="inlineStr">
        <is>
          <t>Apple</t>
        </is>
      </c>
      <c r="O1364"/>
    </row>
    <row r="1365" ht="12.75" customHeight="1">
      <c r="A1365" t="inlineStr">
        <is>
          <t>Apple Watch (Sleep Apnea) และ การใช้ AirPods เป็นอุปกรณ์ช่วยฟัง (Hearing Aid) ใช้ในไทยได้แล้ว</t>
        </is>
      </c>
      <c r="B1365" t="inlineStr">
        <is>
          <t>Nattida Suriyodara,Sasithakan Sritonthip</t>
        </is>
      </c>
      <c r="C1365" s="2">
        <v>45855</v>
      </c>
      <c r="D1365" s="2"/>
      <c r="E1365" t="inlineStr">
        <is>
          <t>ปกติ</t>
        </is>
      </c>
      <c r="F1365" s="3" t="str">
        <f>=HYPERLINK("https://www.facebook.com/share/p/16fn5p885E/", "https://www.facebook.com/share/p/16fn5p885E/")</f>
        <v>https://www.facebook.com/share/p/16fn5p885E/</v>
      </c>
      <c r="G1365"/>
      <c r="H1365" t="inlineStr">
        <is>
          <t>Shorts</t>
        </is>
      </c>
      <c r="I1365" t="inlineStr">
        <is>
          <t>งานประจำวัน</t>
        </is>
      </c>
      <c r="J1365" t="inlineStr">
        <is>
          <t>Done</t>
        </is>
      </c>
      <c r="K1365"/>
      <c r="L1365" s="3"/>
      <c r="M1365" t="inlineStr">
        <is>
          <t>1</t>
        </is>
      </c>
      <c r="N1365" t="inlineStr">
        <is>
          <t>Apple</t>
        </is>
      </c>
      <c r="O1365"/>
    </row>
    <row r="1366" ht="12.75" customHeight="1">
      <c r="A1366" t="inlineStr">
        <is>
          <t>ภาพเรนเดอร์ Galaxy S25 FE พร้อมสเปคก่อนเปิดตัว</t>
        </is>
      </c>
      <c r="B1366" t="inlineStr">
        <is>
          <t>Saktaphat Kordjan</t>
        </is>
      </c>
      <c r="C1366" s="2">
        <v>45855</v>
      </c>
      <c r="D1366" s="2"/>
      <c r="E1366" t="inlineStr">
        <is>
          <t>ปกติ</t>
        </is>
      </c>
      <c r="F1366" s="3"/>
      <c r="G1366"/>
      <c r="H1366" t="inlineStr">
        <is>
          <t>Website</t>
        </is>
      </c>
      <c r="I1366" t="inlineStr">
        <is>
          <t>งานประจำวัน</t>
        </is>
      </c>
      <c r="J1366" t="inlineStr">
        <is>
          <t>Done</t>
        </is>
      </c>
      <c r="K1366"/>
      <c r="L1366" s="3"/>
      <c r="M1366" t="inlineStr">
        <is>
          <t>1</t>
        </is>
      </c>
      <c r="N1366" t="inlineStr">
        <is>
          <t>Android</t>
        </is>
      </c>
      <c r="O1366"/>
    </row>
    <row r="1367" ht="12.75" customHeight="1">
      <c r="A1367" t="inlineStr">
        <is>
          <t>Emoji Game เกมใหม่ใน Apple News+ สำหรับผู้ใช้ iOS 18.4 ขึ้นไป</t>
        </is>
      </c>
      <c r="B1367" t="inlineStr">
        <is>
          <t>Nattida Suriyodara</t>
        </is>
      </c>
      <c r="C1367" s="2">
        <v>45855</v>
      </c>
      <c r="D1367" s="2"/>
      <c r="E1367" t="inlineStr">
        <is>
          <t>ปกติ</t>
        </is>
      </c>
      <c r="F1367" s="3" t="str">
        <f>=HYPERLINK("https://www.iphonemod.net/emoji-game-on-apple-news.html", "https://www.iphonemod.net/emoji-game-on-apple-news.html")</f>
        <v>https://www.iphonemod.net/emoji-game-on-apple-news.html</v>
      </c>
      <c r="G1367"/>
      <c r="H1367" t="inlineStr">
        <is>
          <t>Website</t>
        </is>
      </c>
      <c r="I1367" t="inlineStr">
        <is>
          <t>งานประจำวัน</t>
        </is>
      </c>
      <c r="J1367" t="inlineStr">
        <is>
          <t>Done</t>
        </is>
      </c>
      <c r="K1367"/>
      <c r="L1367" s="3"/>
      <c r="M1367" t="inlineStr">
        <is>
          <t>1</t>
        </is>
      </c>
      <c r="N1367" t="inlineStr">
        <is>
          <t>Apple</t>
        </is>
      </c>
      <c r="O1367"/>
    </row>
    <row r="1368" ht="12.75" customHeight="1">
      <c r="A1368" t="inlineStr">
        <is>
          <t>Sony ประกาศเปลี่ยนเครื่องใหม่ให้กับผู้ใช้ Xperia 1 VII ที่เจอปัญหา</t>
        </is>
      </c>
      <c r="B1368" t="inlineStr">
        <is>
          <t>Saktaphat Kordjan</t>
        </is>
      </c>
      <c r="C1368" s="2">
        <v>45855</v>
      </c>
      <c r="D1368" s="2"/>
      <c r="E1368" t="inlineStr">
        <is>
          <t>ปกติ</t>
        </is>
      </c>
      <c r="F1368" s="3"/>
      <c r="G1368"/>
      <c r="H1368" t="inlineStr">
        <is>
          <t>Website</t>
        </is>
      </c>
      <c r="I1368" t="inlineStr">
        <is>
          <t>งานประจำวัน</t>
        </is>
      </c>
      <c r="J1368" t="inlineStr">
        <is>
          <t>Done</t>
        </is>
      </c>
      <c r="K1368"/>
      <c r="L1368" s="3"/>
      <c r="M1368" t="inlineStr">
        <is>
          <t>1</t>
        </is>
      </c>
      <c r="N1368" t="inlineStr">
        <is>
          <t>Android</t>
        </is>
      </c>
      <c r="O1368"/>
    </row>
    <row r="1369" ht="12.75" customHeight="1">
      <c r="A1369" t="inlineStr">
        <is>
          <t>เผยรายชื่ิิอสี iPhone 17 Series ทุกรุ่น มีรวมกันมากถึง 15 สี!!
</t>
        </is>
      </c>
      <c r="B1369" t="inlineStr">
        <is>
          <t>Thitirath Kinaret</t>
        </is>
      </c>
      <c r="C1369" s="2">
        <v>45855</v>
      </c>
      <c r="D1369" s="2">
        <v>45855</v>
      </c>
      <c r="E1369" t="inlineStr">
        <is>
          <t>ปกติ</t>
        </is>
      </c>
      <c r="F1369" s="3" t="str">
        <f>=HYPERLINK("https://www.facebook.com/iPhonemod/posts/pfbid05EzYSD5zchxEFQTWgD4ZiB4rSb5BJB6JtQKtphLVaQUnYVMMAzWkQojhSdS3X7qYl?__cft__[0]=AZUSqL-aChmToLq7mbzfSvhSG7x-rAZhSHXC1mrYeiZ2BMxTNJuO81wlVXJZMHfXBHAnLc_F2WQUCjUjeVODv7ydOnQw9NuKg-hat16dPResVtOndfHw59xXdLoPkEZJycRkrtwsKIpXlEqRvef9iP-tac4urLoQ5rcLB9BMQMqhjgeFIEQVua6rDDtRKFNjGU0&amp;__tn__=%2CO%2CP-R", "https://www.facebook.com/iPhonemod/posts/pfbid05EzYSD5zchxEFQTWgD4ZiB4rSb5BJB6JtQKtphLVaQUnYVMMAzWkQojhSdS3X7qYl?__cft__[0]=AZUSqL-aChmToLq7mbzfSvhSG7x-rAZhSHXC1mrYeiZ2BMxTNJuO81wlVXJZMHfXBHAnLc_F2WQUCjUjeVODv7ydOnQw9NuKg-hat16dPResVtOndfHw59xXdLoPkEZJycRkrtwsKIpXlEqRvef9iP-tac4urLoQ5rcLB9BMQMqhjgeFIEQVua6rDDtRKFNjGU0&amp;__tn__=%2CO%2CP-R")</f>
        <v>https://www.facebook.com/iPhonemod/posts/pfbid05EzYSD5zchxEFQTWgD4ZiB4rSb5BJB6JtQKtphLVaQUnYVMMAzWkQojhSdS3X7qYl?__cft__[0]=AZUSqL-aChmToLq7mbzfSvhSG7x-rAZhSHXC1mrYeiZ2BMxTNJuO81wlVXJZMHfXBHAnLc_F2WQUCjUjeVODv7ydOnQw9NuKg-hat16dPResVtOndfHw59xXdLoPkEZJycRkrtwsKIpXlEqRvef9iP-tac4urLoQ5rcLB9BMQMqhjgeFIEQVua6rDDtRKFNjGU0&amp;__tn__=%2CO%2CP-R</v>
      </c>
      <c r="G1369"/>
      <c r="H1369" t="inlineStr">
        <is>
          <t>Website, Pic Posts / Album</t>
        </is>
      </c>
      <c r="I1369" t="inlineStr">
        <is>
          <t>งานประจำวัน</t>
        </is>
      </c>
      <c r="J1369" t="inlineStr">
        <is>
          <t>Done</t>
        </is>
      </c>
      <c r="K1369"/>
      <c r="L1369" s="3"/>
      <c r="M1369" t="inlineStr">
        <is>
          <t>1</t>
        </is>
      </c>
      <c r="N1369" t="inlineStr">
        <is>
          <t>Apple</t>
        </is>
      </c>
      <c r="O1369"/>
    </row>
    <row r="1370" ht="12.75" customHeight="1">
      <c r="A1370" t="inlineStr">
        <is>
          <t>ผู้ใช้ TikTok หลายรายเจอการแจ้งเตือน "แก้ไขโปรไฟล์ของคุณ"</t>
        </is>
      </c>
      <c r="B1370" t="inlineStr">
        <is>
          <t>Thitirath Kinaret</t>
        </is>
      </c>
      <c r="C1370" s="2">
        <v>45855</v>
      </c>
      <c r="D1370" s="2">
        <v>45855</v>
      </c>
      <c r="E1370" t="inlineStr">
        <is>
          <t>ปกติ</t>
        </is>
      </c>
      <c r="F1370" s="3" t="str">
        <f>=HYPERLINK("https://www.facebook.com/iPhonemod/posts/pfbid027Z6s3s15E23Geob8WxLmRfLdh6rN4uJURASr7gxHfe1Dx5ZmmxnyHKSADdks8u6Tl?__cft__[0]=AZVhTuK5VMgG7v09uLZj7tys8fYASqO_h1qi98HM25dywh35ypf7h08LKVtLWe45A7gYQZKsfdFRV7q_3ac6eQAXEomw8WZLhyFlPEhQQMKht5REwvv6fTg384LtKBRmZbhdxKhjg16vfB0mQIfBdvTZm0KydqCUm7k0TX2Vv5QeKdaQ2tCBS2O_ajLxNFyBfbw&amp;__tn__=%2CO%2CP-R", "https://www.facebook.com/iPhonemod/posts/pfbid027Z6s3s15E23Geob8WxLmRfLdh6rN4uJURASr7gxHfe1Dx5ZmmxnyHKSADdks8u6Tl?__cft__[0]=AZVhTuK5VMgG7v09uLZj7tys8fYASqO_h1qi98HM25dywh35ypf7h08LKVtLWe45A7gYQZKsfdFRV7q_3ac6eQAXEomw8WZLhyFlPEhQQMKht5REwvv6fTg384LtKBRmZbhdxKhjg16vfB0mQIfBdvTZm0KydqCUm7k0TX2Vv5QeKdaQ2tCBS2O_ajLxNFyBfbw&amp;__tn__=%2CO%2CP-R")</f>
        <v>https://www.facebook.com/iPhonemod/posts/pfbid027Z6s3s15E23Geob8WxLmRfLdh6rN4uJURASr7gxHfe1Dx5ZmmxnyHKSADdks8u6Tl?__cft__[0]=AZVhTuK5VMgG7v09uLZj7tys8fYASqO_h1qi98HM25dywh35ypf7h08LKVtLWe45A7gYQZKsfdFRV7q_3ac6eQAXEomw8WZLhyFlPEhQQMKht5REwvv6fTg384LtKBRmZbhdxKhjg16vfB0mQIfBdvTZm0KydqCUm7k0TX2Vv5QeKdaQ2tCBS2O_ajLxNFyBfbw&amp;__tn__=%2CO%2CP-R</v>
      </c>
      <c r="G1370"/>
      <c r="H1370" t="inlineStr">
        <is>
          <t>Pic Posts / Album</t>
        </is>
      </c>
      <c r="I1370" t="inlineStr">
        <is>
          <t>งานประจำวัน</t>
        </is>
      </c>
      <c r="J1370" t="inlineStr">
        <is>
          <t>Done</t>
        </is>
      </c>
      <c r="K1370"/>
      <c r="L1370" s="3"/>
      <c r="M1370" t="inlineStr">
        <is>
          <t>1</t>
        </is>
      </c>
      <c r="N1370" t="inlineStr">
        <is>
          <t>Tech</t>
        </is>
      </c>
      <c r="O1370"/>
    </row>
    <row r="1371" ht="12.75" customHeight="1">
      <c r="A1371" t="inlineStr">
        <is>
          <t>Samsung One UI มีแนวทางชัดเจน ขณะที่ iOS 26 อาจไปได้ไม่สวยนัก</t>
        </is>
      </c>
      <c r="B1371" t="inlineStr">
        <is>
          <t>Saktaphat Kordjan</t>
        </is>
      </c>
      <c r="C1371" s="2">
        <v>45854</v>
      </c>
      <c r="D1371" s="2"/>
      <c r="E1371" t="inlineStr">
        <is>
          <t>ปกติ</t>
        </is>
      </c>
      <c r="F1371" s="3"/>
      <c r="G1371"/>
      <c r="H1371" t="inlineStr">
        <is>
          <t>Website</t>
        </is>
      </c>
      <c r="I1371" t="inlineStr">
        <is>
          <t>งานประจำวัน</t>
        </is>
      </c>
      <c r="J1371" t="inlineStr">
        <is>
          <t>Done</t>
        </is>
      </c>
      <c r="K1371"/>
      <c r="L1371" s="3"/>
      <c r="M1371" t="inlineStr">
        <is>
          <t>1</t>
        </is>
      </c>
      <c r="N1371" t="inlineStr">
        <is>
          <t>Android</t>
        </is>
      </c>
      <c r="O1371"/>
    </row>
    <row r="1372" ht="12.75" customHeight="1">
      <c r="A1372" t="inlineStr">
        <is>
          <t>Android อาจได้ใช้สแกนใบหน้า 3 มิติ (Face ID) แบบฝังใต้จอก่อน Apple</t>
        </is>
      </c>
      <c r="B1372" t="inlineStr">
        <is>
          <t>Saktaphat Kordjan</t>
        </is>
      </c>
      <c r="C1372" s="2">
        <v>45854</v>
      </c>
      <c r="D1372" s="2"/>
      <c r="E1372" t="inlineStr">
        <is>
          <t>ปกติ</t>
        </is>
      </c>
      <c r="F1372" s="3"/>
      <c r="G1372"/>
      <c r="H1372" t="inlineStr">
        <is>
          <t>Website, Shorts</t>
        </is>
      </c>
      <c r="I1372" t="inlineStr">
        <is>
          <t>งานประจำวัน</t>
        </is>
      </c>
      <c r="J1372" t="inlineStr">
        <is>
          <t>Done</t>
        </is>
      </c>
      <c r="K1372"/>
      <c r="L1372" s="3"/>
      <c r="M1372" t="inlineStr">
        <is>
          <t>1</t>
        </is>
      </c>
      <c r="N1372" t="inlineStr">
        <is>
          <t>Android</t>
        </is>
      </c>
      <c r="O1372"/>
    </row>
    <row r="1373" ht="12.75" customHeight="1">
      <c r="A1373" t="inlineStr">
        <is>
          <t>IG ฟีเจอร์กล้อง</t>
        </is>
      </c>
      <c r="B1373" t="inlineStr">
        <is>
          <t>Sasithakan Sritonthip,Nattida Suriyodara</t>
        </is>
      </c>
      <c r="C1373" s="2">
        <v>45854</v>
      </c>
      <c r="D1373" s="2"/>
      <c r="E1373" t="inlineStr">
        <is>
          <t>ปกติ</t>
        </is>
      </c>
      <c r="F1373" s="3"/>
      <c r="G1373"/>
      <c r="H1373" t="inlineStr">
        <is>
          <t>Shorts</t>
        </is>
      </c>
      <c r="I1373" t="inlineStr">
        <is>
          <t>งานประจำวัน</t>
        </is>
      </c>
      <c r="J1373" t="inlineStr">
        <is>
          <t>Done</t>
        </is>
      </c>
      <c r="K1373"/>
      <c r="L1373" s="3"/>
      <c r="M1373" t="inlineStr">
        <is>
          <t>1</t>
        </is>
      </c>
      <c r="N1373" t="inlineStr">
        <is>
          <t>ทั่วไป</t>
        </is>
      </c>
      <c r="O1373"/>
    </row>
    <row r="1374" ht="12.75" customHeight="1">
      <c r="A1374" t="inlineStr">
        <is>
          <t>หลุดสเปค Huawei Mate X7</t>
        </is>
      </c>
      <c r="B1374" t="inlineStr">
        <is>
          <t>Saktaphat Kordjan</t>
        </is>
      </c>
      <c r="C1374" s="2">
        <v>45854</v>
      </c>
      <c r="D1374" s="2"/>
      <c r="E1374" t="inlineStr">
        <is>
          <t>ปกติ</t>
        </is>
      </c>
      <c r="F1374" s="3"/>
      <c r="G1374"/>
      <c r="H1374" t="inlineStr">
        <is>
          <t>Website</t>
        </is>
      </c>
      <c r="I1374" t="inlineStr">
        <is>
          <t>งานประจำวัน</t>
        </is>
      </c>
      <c r="J1374" t="inlineStr">
        <is>
          <t>Done</t>
        </is>
      </c>
      <c r="K1374"/>
      <c r="L1374" s="3"/>
      <c r="M1374" t="inlineStr">
        <is>
          <t>1</t>
        </is>
      </c>
      <c r="N1374" t="inlineStr">
        <is>
          <t>Android</t>
        </is>
      </c>
      <c r="O1374"/>
    </row>
    <row r="1375" ht="12.75" customHeight="1">
      <c r="A1375" t="inlineStr">
        <is>
          <t>เปิดตัว Honor X70  มาพร้อมแบตเตอรี่ขนาดใหญ่ถึง 8,300mAh</t>
        </is>
      </c>
      <c r="B1375" t="inlineStr">
        <is>
          <t>Saktaphat Kordjan</t>
        </is>
      </c>
      <c r="C1375" s="2">
        <v>45854</v>
      </c>
      <c r="D1375" s="2"/>
      <c r="E1375" t="inlineStr">
        <is>
          <t>ปกติ</t>
        </is>
      </c>
      <c r="F1375" s="3"/>
      <c r="G1375"/>
      <c r="H1375" t="inlineStr">
        <is>
          <t>Website</t>
        </is>
      </c>
      <c r="I1375" t="inlineStr">
        <is>
          <t>งานประจำวัน</t>
        </is>
      </c>
      <c r="J1375" t="inlineStr">
        <is>
          <t>Done</t>
        </is>
      </c>
      <c r="K1375"/>
      <c r="L1375" s="3"/>
      <c r="M1375" t="inlineStr">
        <is>
          <t>1</t>
        </is>
      </c>
      <c r="N1375" t="inlineStr">
        <is>
          <t>Android</t>
        </is>
      </c>
      <c r="O1375"/>
    </row>
    <row r="1376" ht="12.75" customHeight="1">
      <c r="A1376" t="inlineStr">
        <is>
          <t xml:space="preserve">วิธีทดสอบการได้ยิน (Hearing Tests) ด้วย AirPods Pro 2 </t>
        </is>
      </c>
      <c r="B1376" t="inlineStr">
        <is>
          <t>Thitirath Kinaret</t>
        </is>
      </c>
      <c r="C1376" s="2">
        <v>45854</v>
      </c>
      <c r="D1376" s="2">
        <v>45854</v>
      </c>
      <c r="E1376" t="inlineStr">
        <is>
          <t>ปกติ</t>
        </is>
      </c>
      <c r="F1376" s="3" t="str">
        <f>=HYPERLINK("https://www.facebook.com/iPhonemod/posts/pfbid02Rcs57VZwqoNiGNUXKUHN7TcGoSvmPVgs48WGVfML7pBfAhYKScR462ubKGFNuBRVl?__cft__[0]=AZVkFav33VH1_bknnVOkUwLQHh7iyB1kti2XT1N4qqD3yxDBQb83VcUwfQPS4EEheZcxQ28fv3PFRh67DTIY6wK3j1mlxafp_6U98zi2AlLd_eRSdXHFYY6QhEjCZA6MFkIgOITVIfrLTJASWEPIjZWSzNK91WQ_lb0XOkGvEpARtGDdRYlwEkt3Zi0S3KhSv4k&amp;__tn__=%2CO%2CP-R", "https://www.facebook.com/iPhonemod/posts/pfbid02Rcs57VZwqoNiGNUXKUHN7TcGoSvmPVgs48WGVfML7pBfAhYKScR462ubKGFNuBRVl?__cft__[0]=AZVkFav33VH1_bknnVOkUwLQHh7iyB1kti2XT1N4qqD3yxDBQb83VcUwfQPS4EEheZcxQ28fv3PFRh67DTIY6wK3j1mlxafp_6U98zi2AlLd_eRSdXHFYY6QhEjCZA6MFkIgOITVIfrLTJASWEPIjZWSzNK91WQ_lb0XOkGvEpARtGDdRYlwEkt3Zi0S3KhSv4k&amp;__tn__=%2CO%2CP-R")</f>
        <v>https://www.facebook.com/iPhonemod/posts/pfbid02Rcs57VZwqoNiGNUXKUHN7TcGoSvmPVgs48WGVfML7pBfAhYKScR462ubKGFNuBRVl?__cft__[0]=AZVkFav33VH1_bknnVOkUwLQHh7iyB1kti2XT1N4qqD3yxDBQb83VcUwfQPS4EEheZcxQ28fv3PFRh67DTIY6wK3j1mlxafp_6U98zi2AlLd_eRSdXHFYY6QhEjCZA6MFkIgOITVIfrLTJASWEPIjZWSzNK91WQ_lb0XOkGvEpARtGDdRYlwEkt3Zi0S3KhSv4k&amp;__tn__=%2CO%2CP-R</v>
      </c>
      <c r="G1376"/>
      <c r="H1376" t="inlineStr">
        <is>
          <t>Pic Posts / Album</t>
        </is>
      </c>
      <c r="I1376" t="inlineStr">
        <is>
          <t>งานประจำวัน</t>
        </is>
      </c>
      <c r="J1376" t="inlineStr">
        <is>
          <t>Done</t>
        </is>
      </c>
      <c r="K1376"/>
      <c r="L1376" s="3"/>
      <c r="M1376" t="inlineStr">
        <is>
          <t>1</t>
        </is>
      </c>
      <c r="N1376" t="inlineStr">
        <is>
          <t>Apple</t>
        </is>
      </c>
      <c r="O1376"/>
    </row>
    <row r="1377" ht="12.75" customHeight="1">
      <c r="A1377" t="inlineStr">
        <is>
          <t>วิธีเปิดใช้งานการแจ้งเตือนภาวะหยุดหายใจขณะนอนหลับบน Apple Watch (Sleep Apnea)
</t>
        </is>
      </c>
      <c r="B1377" t="inlineStr">
        <is>
          <t>Thitirath Kinaret</t>
        </is>
      </c>
      <c r="C1377" s="2">
        <v>45854</v>
      </c>
      <c r="D1377" s="2">
        <v>45854</v>
      </c>
      <c r="E1377" t="inlineStr">
        <is>
          <t>ปกติ</t>
        </is>
      </c>
      <c r="F1377" s="3" t="str">
        <f>=HYPERLINK("https://www.facebook.com/iPhonemod/posts/pfbid0xFH1HJzC8a2pixrQLALfggUdJmDNvgpynMLxzsZP9nsTPWWFWHKSUmg1XtAdJii1l?__cft__[0]=AZW5CeVtKsUv-KHpSvt94Vt-0xlF91b8utJoElegGZl-bzkHmrgLIBOxwHnScdnbFMTH4cCb3Xh2OIIDgnN8oHkm1jdD34Kgtpb_DNp6KmeVnIMwMd21VV9MkHUjSZIqfK_k_4pbHDhoeKmICt2yciwqBqVvWiGu0xsfD0hNypo9VGWvhbj_jsDQNPy3bGawWN4&amp;__tn__=%2CO%2CP-R", "https://www.facebook.com/iPhonemod/posts/pfbid0xFH1HJzC8a2pixrQLALfggUdJmDNvgpynMLxzsZP9nsTPWWFWHKSUmg1XtAdJii1l?__cft__[0]=AZW5CeVtKsUv-KHpSvt94Vt-0xlF91b8utJoElegGZl-bzkHmrgLIBOxwHnScdnbFMTH4cCb3Xh2OIIDgnN8oHkm1jdD34Kgtpb_DNp6KmeVnIMwMd21VV9MkHUjSZIqfK_k_4pbHDhoeKmICt2yciwqBqVvWiGu0xsfD0hNypo9VGWvhbj_jsDQNPy3bGawWN4&amp;__tn__=%2CO%2CP-R")</f>
        <v>https://www.facebook.com/iPhonemod/posts/pfbid0xFH1HJzC8a2pixrQLALfggUdJmDNvgpynMLxzsZP9nsTPWWFWHKSUmg1XtAdJii1l?__cft__[0]=AZW5CeVtKsUv-KHpSvt94Vt-0xlF91b8utJoElegGZl-bzkHmrgLIBOxwHnScdnbFMTH4cCb3Xh2OIIDgnN8oHkm1jdD34Kgtpb_DNp6KmeVnIMwMd21VV9MkHUjSZIqfK_k_4pbHDhoeKmICt2yciwqBqVvWiGu0xsfD0hNypo9VGWvhbj_jsDQNPy3bGawWN4&amp;__tn__=%2CO%2CP-R</v>
      </c>
      <c r="G1377"/>
      <c r="H1377" t="inlineStr">
        <is>
          <t>Pic Posts / Album</t>
        </is>
      </c>
      <c r="I1377" t="inlineStr">
        <is>
          <t>งานประจำวัน</t>
        </is>
      </c>
      <c r="J1377" t="inlineStr">
        <is>
          <t>Done</t>
        </is>
      </c>
      <c r="K1377"/>
      <c r="L1377" s="3"/>
      <c r="M1377" t="inlineStr">
        <is>
          <t>1</t>
        </is>
      </c>
      <c r="N1377" t="inlineStr">
        <is>
          <t>Apple</t>
        </is>
      </c>
      <c r="O1377"/>
    </row>
    <row r="1378" ht="12.75" customHeight="1">
      <c r="A1378" t="inlineStr">
        <is>
          <t>ฟีเจอร์สุขภาพ การแจ้งเตือนภาวะหยุดหายใจขณะนอนหลับบน Apple Watch (Sleep Apnea) และ การใช้ AirPods เป็นอุปกรณ์ช่วยฟัง (Hearing Aid) ใช้ในไทยได้แล้ว</t>
        </is>
      </c>
      <c r="B1378" t="inlineStr">
        <is>
          <t>Thitirath Kinaret</t>
        </is>
      </c>
      <c r="C1378" s="2">
        <v>45854</v>
      </c>
      <c r="D1378" s="2">
        <v>45854</v>
      </c>
      <c r="E1378" t="inlineStr">
        <is>
          <t>ปกติ</t>
        </is>
      </c>
      <c r="F1378" s="3" t="str">
        <f>=HYPERLINK("https://www.facebook.com/iPhonemod/posts/pfbid052S8r8w1hCkSusSLJAbdxpEdNWv1ECp7mCivMDLHhUXmZE6wywhA3eUrVs21EBYhl?__cft__[0]=AZWa_s2U2O9l3A6LEtFV4IJHFU6nbyMCtz4YLNAypol4WkOW60VW8d_H5z9u5XX95HZsruaM19pteHqGISjp8HbZMWUjNjAyG-qkLGWL-Y4d2zE3wwS1nLExVi1VgFl2DgMoaRbV5nu-aj9ybVnGY48F0JBqtN12oj0RPcdZoKmeA07M1ekasVP7mNYWO1zkJQo&amp;__tn__=%2CO%2CP-R", "https://www.facebook.com/iPhonemod/posts/pfbid052S8r8w1hCkSusSLJAbdxpEdNWv1ECp7mCivMDLHhUXmZE6wywhA3eUrVs21EBYhl?__cft__[0]=AZWa_s2U2O9l3A6LEtFV4IJHFU6nbyMCtz4YLNAypol4WkOW60VW8d_H5z9u5XX95HZsruaM19pteHqGISjp8HbZMWUjNjAyG-qkLGWL-Y4d2zE3wwS1nLExVi1VgFl2DgMoaRbV5nu-aj9ybVnGY48F0JBqtN12oj0RPcdZoKmeA07M1ekasVP7mNYWO1zkJQo&amp;__tn__=%2CO%2CP-R")</f>
        <v>https://www.facebook.com/iPhonemod/posts/pfbid052S8r8w1hCkSusSLJAbdxpEdNWv1ECp7mCivMDLHhUXmZE6wywhA3eUrVs21EBYhl?__cft__[0]=AZWa_s2U2O9l3A6LEtFV4IJHFU6nbyMCtz4YLNAypol4WkOW60VW8d_H5z9u5XX95HZsruaM19pteHqGISjp8HbZMWUjNjAyG-qkLGWL-Y4d2zE3wwS1nLExVi1VgFl2DgMoaRbV5nu-aj9ybVnGY48F0JBqtN12oj0RPcdZoKmeA07M1ekasVP7mNYWO1zkJQo&amp;__tn__=%2CO%2CP-R</v>
      </c>
      <c r="G1378"/>
      <c r="H1378" t="inlineStr">
        <is>
          <t>Website, Pic Posts / Album</t>
        </is>
      </c>
      <c r="I1378" t="inlineStr">
        <is>
          <t>งานประจำวัน</t>
        </is>
      </c>
      <c r="J1378" t="inlineStr">
        <is>
          <t>Done</t>
        </is>
      </c>
      <c r="K1378"/>
      <c r="L1378" s="3"/>
      <c r="M1378" t="inlineStr">
        <is>
          <t>1</t>
        </is>
      </c>
      <c r="N1378" t="inlineStr">
        <is>
          <t>Apple</t>
        </is>
      </c>
      <c r="O1378"/>
    </row>
    <row r="1379" ht="12.75" customHeight="1">
      <c r="A1379" t="inlineStr">
        <is>
          <t xml:space="preserve"> Cyberpunk 2077 บน Mac</t>
        </is>
      </c>
      <c r="B1379" t="inlineStr">
        <is>
          <t>Saktaphat Kordjan,Sasithakan Sritonthip</t>
        </is>
      </c>
      <c r="C1379" s="2">
        <v>45853</v>
      </c>
      <c r="D1379" s="2">
        <v>45853</v>
      </c>
      <c r="E1379" t="inlineStr">
        <is>
          <t>ปกติ</t>
        </is>
      </c>
      <c r="F1379" s="3" t="str">
        <f>=HYPERLINK("https://apple.ent.box.com/s/x0df8geu01xjgyur8ao8ca94a2opqnnj", "https://apple.ent.box.com/s/x0df8geu01xjgyur8ao8ca94a2opqnnj")</f>
        <v>https://apple.ent.box.com/s/x0df8geu01xjgyur8ao8ca94a2opqnnj</v>
      </c>
      <c r="G1379" t="inlineStr">
        <is>
          <t>CBP2077.pages</t>
        </is>
      </c>
      <c r="H1379" t="inlineStr">
        <is>
          <t>Shorts</t>
        </is>
      </c>
      <c r="I1379" t="inlineStr">
        <is>
          <t>งานประจำวัน</t>
        </is>
      </c>
      <c r="J1379" t="inlineStr">
        <is>
          <t>Done</t>
        </is>
      </c>
      <c r="K1379"/>
      <c r="L1379" s="3"/>
      <c r="M1379" t="inlineStr">
        <is>
          <t>1</t>
        </is>
      </c>
      <c r="N1379" t="inlineStr">
        <is>
          <t>Apple</t>
        </is>
      </c>
      <c r="O1379"/>
    </row>
    <row r="1380" ht="12.75" customHeight="1">
      <c r="A1380" t="inlineStr">
        <is>
          <t>ลือ! สีตัวเครื่อง iPhone 17 Pro, 17 Pro Max</t>
        </is>
      </c>
      <c r="B1380" t="inlineStr">
        <is>
          <t>Thitirath Kinaret</t>
        </is>
      </c>
      <c r="C1380" s="2">
        <v>45853</v>
      </c>
      <c r="D1380" s="2">
        <v>45853</v>
      </c>
      <c r="E1380" t="inlineStr">
        <is>
          <t>ปกติ</t>
        </is>
      </c>
      <c r="F1380" s="3"/>
      <c r="G1380"/>
      <c r="H1380" t="inlineStr">
        <is>
          <t>Website, Pic Posts / Album</t>
        </is>
      </c>
      <c r="I1380" t="inlineStr">
        <is>
          <t>งานประจำวัน</t>
        </is>
      </c>
      <c r="J1380" t="inlineStr">
        <is>
          <t>Done</t>
        </is>
      </c>
      <c r="K1380"/>
      <c r="L1380" s="3" t="str">
        <f>=HYPERLINK("https://www.facebook.com/iPhonemod/posts/pfbid01HegEuDyXCLAqFyYrN3fGA3qLwrKS2xiSDteu8CkoomssZojbinaKbyKSKKq8oKPl?__cft__[0]=AZUB0ZM7cRwj-NNIkQmi-reE0v3Vf4zenz-QyNTIjJGxFPZj4YOLKCfBOwC5YbWzaU0hbtZtVgo_cRuNWJI4spUURgAzmaP1mlSWyy4td6ZZqndgDx67NlUL14nh_VXegw7HzGfKiM-jjkMip1BsvNIwT9qOs6M4j78D1dlg1fGDYJGUn0Yr1YVgvbf5vMG7MwE7uSW9m_Ov_BWhBnYm71oy&amp;__tn__=%2CO*F", "https://www.facebook.com/iPhonemod/posts/pfbid01HegEuDyXCLAqFyYrN3fGA3qLwrKS2xiSDteu8CkoomssZojbinaKbyKSKKq8oKPl?__cft__[0]=AZUB0ZM7cRwj-NNIkQmi-reE0v3Vf4zenz-QyNTIjJGxFPZj4YOLKCfBOwC5YbWzaU0hbtZtVgo_cRuNWJI4spUURgAzmaP1mlSWyy4td6ZZqndgDx67NlUL14nh_VXegw7HzGfKiM-jjkMip1BsvNIwT9qOs6M4j78D1dlg1fGDYJGUn0Yr1YVgvbf5vMG7MwE7uSW9m_Ov_BWhBnYm71oy&amp;__tn__=%2CO*F")</f>
        <v>https://www.facebook.com/iPhonemod/posts/pfbid01HegEuDyXCLAqFyYrN3fGA3qLwrKS2xiSDteu8CkoomssZojbinaKbyKSKKq8oKPl?__cft__[0]=AZUB0ZM7cRwj-NNIkQmi-reE0v3Vf4zenz-QyNTIjJGxFPZj4YOLKCfBOwC5YbWzaU0hbtZtVgo_cRuNWJI4spUURgAzmaP1mlSWyy4td6ZZqndgDx67NlUL14nh_VXegw7HzGfKiM-jjkMip1BsvNIwT9qOs6M4j78D1dlg1fGDYJGUn0Yr1YVgvbf5vMG7MwE7uSW9m_Ov_BWhBnYm71oy&amp;__tn__=%2CO*F</v>
      </c>
      <c r="M1380" t="inlineStr">
        <is>
          <t>1</t>
        </is>
      </c>
      <c r="N1380" t="inlineStr">
        <is>
          <t>Apple</t>
        </is>
      </c>
      <c r="O1380"/>
    </row>
    <row r="1381" ht="12.75" customHeight="1">
      <c r="A1381" t="inlineStr">
        <is>
          <t xml:space="preserve">หลุดสเปคกล้อง vivo X300 </t>
        </is>
      </c>
      <c r="B1381" t="inlineStr">
        <is>
          <t>Saktaphat Kordjan</t>
        </is>
      </c>
      <c r="C1381" s="2">
        <v>45853</v>
      </c>
      <c r="D1381" s="2"/>
      <c r="E1381" t="inlineStr">
        <is>
          <t>ปกติ</t>
        </is>
      </c>
      <c r="F1381" s="3"/>
      <c r="G1381"/>
      <c r="H1381" t="inlineStr">
        <is>
          <t>Website</t>
        </is>
      </c>
      <c r="I1381" t="inlineStr">
        <is>
          <t>งานประจำวัน</t>
        </is>
      </c>
      <c r="J1381" t="inlineStr">
        <is>
          <t>Done</t>
        </is>
      </c>
      <c r="K1381"/>
      <c r="L1381" s="3"/>
      <c r="M1381" t="inlineStr">
        <is>
          <t>1</t>
        </is>
      </c>
      <c r="N1381" t="inlineStr">
        <is>
          <t>Android</t>
        </is>
      </c>
      <c r="O1381"/>
    </row>
    <row r="1382" ht="12.75" customHeight="1">
      <c r="A1382" t="inlineStr">
        <is>
          <t>S Pen อาจกลับมาใน Galaxy Z Fold ด้วยเทคโนโลยีใหม่ของ Samsung</t>
        </is>
      </c>
      <c r="B1382" t="inlineStr">
        <is>
          <t>Saktaphat Kordjan</t>
        </is>
      </c>
      <c r="C1382" s="2">
        <v>45853</v>
      </c>
      <c r="D1382" s="2"/>
      <c r="E1382" t="inlineStr">
        <is>
          <t>ปกติ</t>
        </is>
      </c>
      <c r="F1382" s="3"/>
      <c r="G1382"/>
      <c r="H1382" t="inlineStr">
        <is>
          <t>Website, Pic Posts / Album</t>
        </is>
      </c>
      <c r="I1382" t="inlineStr">
        <is>
          <t>งานประจำวัน</t>
        </is>
      </c>
      <c r="J1382" t="inlineStr">
        <is>
          <t>Done</t>
        </is>
      </c>
      <c r="K1382"/>
      <c r="L1382" s="3"/>
      <c r="M1382" t="inlineStr">
        <is>
          <t>1</t>
        </is>
      </c>
      <c r="N1382" t="inlineStr">
        <is>
          <t>Android</t>
        </is>
      </c>
      <c r="O1382"/>
    </row>
    <row r="1383" ht="12.75" customHeight="1">
      <c r="A1383" t="inlineStr">
        <is>
          <t>ByteDance บริษัทแม่ของ TikTok รายงานว่ากำลังพัฒนาแว่นตา XR ของตัวเอง</t>
        </is>
      </c>
      <c r="B1383" t="inlineStr">
        <is>
          <t>Saktaphat Kordjan</t>
        </is>
      </c>
      <c r="C1383" s="2">
        <v>45853</v>
      </c>
      <c r="D1383" s="2"/>
      <c r="E1383" t="inlineStr">
        <is>
          <t>ปกติ</t>
        </is>
      </c>
      <c r="F1383" s="3"/>
      <c r="G1383"/>
      <c r="H1383" t="inlineStr">
        <is>
          <t>Website</t>
        </is>
      </c>
      <c r="I1383" t="inlineStr">
        <is>
          <t>งานประจำวัน</t>
        </is>
      </c>
      <c r="J1383" t="inlineStr">
        <is>
          <t>Done</t>
        </is>
      </c>
      <c r="K1383"/>
      <c r="L1383" s="3"/>
      <c r="M1383" t="inlineStr">
        <is>
          <t>1</t>
        </is>
      </c>
      <c r="N1383" t="inlineStr">
        <is>
          <t>Tech</t>
        </is>
      </c>
      <c r="O1383"/>
    </row>
    <row r="1384" ht="12.75" customHeight="1">
      <c r="A1384" t="inlineStr">
        <is>
          <t>หลุด สเปค Google Pixel 10 Pro Fold</t>
        </is>
      </c>
      <c r="B1384" t="inlineStr">
        <is>
          <t>Saktaphat Kordjan</t>
        </is>
      </c>
      <c r="C1384" s="2">
        <v>45853</v>
      </c>
      <c r="D1384" s="2"/>
      <c r="E1384" t="inlineStr">
        <is>
          <t>ปกติ</t>
        </is>
      </c>
      <c r="F1384" s="3"/>
      <c r="G1384"/>
      <c r="H1384" t="inlineStr">
        <is>
          <t>Website</t>
        </is>
      </c>
      <c r="I1384" t="inlineStr">
        <is>
          <t>งานประจำวัน</t>
        </is>
      </c>
      <c r="J1384" t="inlineStr">
        <is>
          <t>Done</t>
        </is>
      </c>
      <c r="K1384"/>
      <c r="L1384" s="3"/>
      <c r="M1384" t="inlineStr">
        <is>
          <t>1</t>
        </is>
      </c>
      <c r="N1384" t="inlineStr">
        <is>
          <t>Android</t>
        </is>
      </c>
      <c r="O1384"/>
    </row>
    <row r="1385" ht="12.75" customHeight="1">
      <c r="A1385" t="inlineStr">
        <is>
          <t xml:space="preserve"> Cyberpunk 2077 บน Mac</t>
        </is>
      </c>
      <c r="B1385" t="inlineStr">
        <is>
          <t>Thitirath Kinaret</t>
        </is>
      </c>
      <c r="C1385" s="2">
        <v>45853</v>
      </c>
      <c r="D1385" s="2">
        <v>45853</v>
      </c>
      <c r="E1385" t="inlineStr">
        <is>
          <t>ปกติ</t>
        </is>
      </c>
      <c r="F1385" s="3" t="str">
        <f>=HYPERLINK("https://apple.ent.box.com/s/x0df8geu01xjgyur8ao8ca94a2opqnnj", "https://apple.ent.box.com/s/x0df8geu01xjgyur8ao8ca94a2opqnnj")</f>
        <v>https://apple.ent.box.com/s/x0df8geu01xjgyur8ao8ca94a2opqnnj</v>
      </c>
      <c r="G1385" t="inlineStr">
        <is>
          <t>CBP2077.pages</t>
        </is>
      </c>
      <c r="H1385" t="inlineStr">
        <is>
          <t>Website, Pic Posts / Album</t>
        </is>
      </c>
      <c r="I1385" t="inlineStr">
        <is>
          <t>งานประจำวัน</t>
        </is>
      </c>
      <c r="J1385" t="inlineStr">
        <is>
          <t>Done</t>
        </is>
      </c>
      <c r="K1385"/>
      <c r="L1385" s="3"/>
      <c r="M1385" t="inlineStr">
        <is>
          <t>1</t>
        </is>
      </c>
      <c r="N1385" t="inlineStr">
        <is>
          <t>Apple</t>
        </is>
      </c>
      <c r="O1385"/>
    </row>
    <row r="1386" ht="12.75" customHeight="1">
      <c r="A1386" t="inlineStr">
        <is>
          <t xml:space="preserve">Studio7 โค้งสุดท้าย ช้อปคู่ iPhone&amp;Airpods4 รับส่วนลดสุดคุ้ม! </t>
        </is>
      </c>
      <c r="B1386" t="inlineStr">
        <is>
          <t>Thitirath Kinaret</t>
        </is>
      </c>
      <c r="C1386" s="2">
        <v>45852</v>
      </c>
      <c r="D1386" s="2">
        <v>45852</v>
      </c>
      <c r="E1386" t="inlineStr">
        <is>
          <t>ปกติ</t>
        </is>
      </c>
      <c r="F1386" s="3"/>
      <c r="G1386"/>
      <c r="H1386" t="inlineStr">
        <is>
          <t>Pic Posts / Album, Event</t>
        </is>
      </c>
      <c r="I1386" t="inlineStr">
        <is>
          <t>งานลูกค้า</t>
        </is>
      </c>
      <c r="J1386" t="inlineStr">
        <is>
          <t>Done</t>
        </is>
      </c>
      <c r="K1386"/>
      <c r="L1386" s="3"/>
      <c r="M1386" t="inlineStr">
        <is>
          <t>1</t>
        </is>
      </c>
      <c r="N1386" t="inlineStr">
        <is>
          <t>Apple</t>
        </is>
      </c>
      <c r="O1386"/>
    </row>
    <row r="1387" ht="12.75" customHeight="1">
      <c r="A1387" t="inlineStr">
        <is>
          <t>Flow | Google AI เปิดให้บริการในไทยแล้ว</t>
        </is>
      </c>
      <c r="B1387" t="inlineStr">
        <is>
          <t>Sasithakan Sritonthip</t>
        </is>
      </c>
      <c r="C1387" s="2">
        <v>45852</v>
      </c>
      <c r="D1387" s="2"/>
      <c r="E1387" t="inlineStr">
        <is>
          <t>ปกติ</t>
        </is>
      </c>
      <c r="F1387" s="3" t="str">
        <f>=HYPERLINK("https://labs.google/flow/about", "https://labs.google/flow/about")</f>
        <v>https://labs.google/flow/about</v>
      </c>
      <c r="G1387"/>
      <c r="H1387" t="inlineStr">
        <is>
          <t>Website</t>
        </is>
      </c>
      <c r="I1387" t="inlineStr">
        <is>
          <t>งานประจำวัน</t>
        </is>
      </c>
      <c r="J1387" t="inlineStr">
        <is>
          <t>Done</t>
        </is>
      </c>
      <c r="K1387"/>
      <c r="L1387" s="3"/>
      <c r="M1387" t="inlineStr">
        <is>
          <t>1</t>
        </is>
      </c>
      <c r="N1387" t="inlineStr">
        <is>
          <t>AI</t>
        </is>
      </c>
      <c r="O1387"/>
    </row>
    <row r="1388" ht="12.75" customHeight="1">
      <c r="A1388" t="inlineStr">
        <is>
          <t>Flow เปิดใช้งานในไทยแล้ว</t>
        </is>
      </c>
      <c r="B1388" t="inlineStr">
        <is>
          <t>Nattida Suriyodara,Sasithakan Sritonthip</t>
        </is>
      </c>
      <c r="C1388" s="2">
        <v>45852</v>
      </c>
      <c r="D1388" s="2"/>
      <c r="E1388" t="inlineStr">
        <is>
          <t>ปกติ</t>
        </is>
      </c>
      <c r="F1388" s="3" t="str">
        <f>=HYPERLINK("http://ลิงค์- เว็บhttps://labs.google/flow/tv/channel/zoo-break/EcNk1euLKR9t9YdfVuGu?random=true- รูป โลโก้https://storage.googleapis.com/gweb-uniblog-publish-prod/images/Flow_Sizzle_Thumbnail_1280_x_720_.width-700.format-webp.webp", "ลิงค์- เว็บhttps://labs.google/flow/tv/channel/zoo-break/EcNk1euLKR9t9YdfVuGu?random=true- รูป โลโก้https://storage.googleapis.com/gweb-uniblog-publish-prod/images/Flow_Sizzle_Thumbnail_1280_x_720_.width-700.format-webp.webp")</f>
        <v>ลิงค์- เว็บhttps://labs.google/flow/tv/channel/zoo-break/EcNk1euLKR9t9YdfVuGu?random=true- รูป โลโก้https://storage.googleapis.com/gweb-uniblog-publish-prod/images/Flow_Sizzle_Thumbnail_1280_x_720_.width-700.format-webp.webp</v>
      </c>
      <c r="G1388"/>
      <c r="H1388" t="inlineStr">
        <is>
          <t>Shorts</t>
        </is>
      </c>
      <c r="I1388" t="inlineStr">
        <is>
          <t>งานประจำวัน</t>
        </is>
      </c>
      <c r="J1388" t="inlineStr">
        <is>
          <t>Done</t>
        </is>
      </c>
      <c r="K1388"/>
      <c r="L1388" s="3"/>
      <c r="M1388" t="inlineStr">
        <is>
          <t>1</t>
        </is>
      </c>
      <c r="N1388" t="inlineStr">
        <is>
          <t>AI</t>
        </is>
      </c>
      <c r="O1388"/>
    </row>
    <row r="1389" ht="12.75" customHeight="1">
      <c r="A1389" t="inlineStr">
        <is>
          <t>Galaxy Z Fold7 และ Flip7 รุ่นพิเศษ Cabubu Edition</t>
        </is>
      </c>
      <c r="B1389" t="inlineStr">
        <is>
          <t>Saktaphat Kordjan</t>
        </is>
      </c>
      <c r="C1389" s="2">
        <v>45852</v>
      </c>
      <c r="D1389" s="2"/>
      <c r="E1389" t="inlineStr">
        <is>
          <t>ปกติ</t>
        </is>
      </c>
      <c r="F1389" s="3"/>
      <c r="G1389"/>
      <c r="H1389" t="inlineStr">
        <is>
          <t>Website</t>
        </is>
      </c>
      <c r="I1389" t="inlineStr">
        <is>
          <t>งานประจำวัน</t>
        </is>
      </c>
      <c r="J1389" t="inlineStr">
        <is>
          <t>Done</t>
        </is>
      </c>
      <c r="K1389"/>
      <c r="L1389" s="3"/>
      <c r="M1389" t="inlineStr">
        <is>
          <t>1</t>
        </is>
      </c>
      <c r="N1389" t="inlineStr">
        <is>
          <t>Android</t>
        </is>
      </c>
      <c r="O1389"/>
    </row>
    <row r="1390" ht="12.75" customHeight="1">
      <c r="A1390" t="inlineStr">
        <is>
          <t>Nothing Headphone 1 First impression</t>
        </is>
      </c>
      <c r="B1390" t="inlineStr">
        <is>
          <t>Saktaphat Kordjan</t>
        </is>
      </c>
      <c r="C1390" s="2">
        <v>45852</v>
      </c>
      <c r="D1390" s="2"/>
      <c r="E1390" t="inlineStr">
        <is>
          <t>ปกติ</t>
        </is>
      </c>
      <c r="F1390" s="3"/>
      <c r="G1390"/>
      <c r="H1390" t="inlineStr">
        <is>
          <t>Pic Posts / Album, Shorts</t>
        </is>
      </c>
      <c r="I1390" t="inlineStr">
        <is>
          <t>งานประจำวัน, เสนอไอเดีย</t>
        </is>
      </c>
      <c r="J1390" t="inlineStr">
        <is>
          <t>Done</t>
        </is>
      </c>
      <c r="K1390"/>
      <c r="L1390" s="3"/>
      <c r="M1390" t="inlineStr">
        <is>
          <t>1</t>
        </is>
      </c>
      <c r="N1390" t="inlineStr">
        <is>
          <t>Android, Tech</t>
        </is>
      </c>
      <c r="O1390"/>
    </row>
    <row r="1391" ht="12.75" customHeight="1">
      <c r="A1391" t="inlineStr">
        <is>
          <t>Qualcomm กำลังพัฒนาชิปเซ็ตที่ดียิ่งขึ้นสำหรับสมาร์ตวอทช์</t>
        </is>
      </c>
      <c r="B1391" t="inlineStr">
        <is>
          <t>Saktaphat Kordjan</t>
        </is>
      </c>
      <c r="C1391" s="2">
        <v>45852</v>
      </c>
      <c r="D1391" s="2"/>
      <c r="E1391" t="inlineStr">
        <is>
          <t>ปกติ</t>
        </is>
      </c>
      <c r="F1391" s="3"/>
      <c r="G1391"/>
      <c r="H1391" t="inlineStr">
        <is>
          <t>Website</t>
        </is>
      </c>
      <c r="I1391" t="inlineStr">
        <is>
          <t>งานประจำวัน</t>
        </is>
      </c>
      <c r="J1391" t="inlineStr">
        <is>
          <t>Done</t>
        </is>
      </c>
      <c r="K1391"/>
      <c r="L1391" s="3"/>
      <c r="M1391" t="inlineStr">
        <is>
          <t>1</t>
        </is>
      </c>
      <c r="N1391" t="inlineStr">
        <is>
          <t>Tech</t>
        </is>
      </c>
      <c r="O1391"/>
    </row>
    <row r="1392" ht="12.75" customHeight="1">
      <c r="A1392" t="inlineStr">
        <is>
          <t>Google AI Ultra เปิดให้บริการในไทยแล้ว</t>
        </is>
      </c>
      <c r="B1392" t="inlineStr">
        <is>
          <t>Thitirath Kinaret</t>
        </is>
      </c>
      <c r="C1392" s="2">
        <v>45852</v>
      </c>
      <c r="D1392" s="2">
        <v>45852</v>
      </c>
      <c r="E1392" t="inlineStr">
        <is>
          <t>ปกติ</t>
        </is>
      </c>
      <c r="F1392" s="3" t="str">
        <f>=HYPERLINK("https://www.facebook.com/iPhonemod/posts/pfbid047gdDJqTw5Y2RQr2BRjMQLEomd3rWoGBWKKLz3NMEd5nEDfmNVapegPLw8pr5wLal?", "https://www.facebook.com/iPhonemod/posts/pfbid047gdDJqTw5Y2RQr2BRjMQLEomd3rWoGBWKKLz3NMEd5nEDfmNVapegPLw8pr5wLal?")</f>
        <v>https://www.facebook.com/iPhonemod/posts/pfbid047gdDJqTw5Y2RQr2BRjMQLEomd3rWoGBWKKLz3NMEd5nEDfmNVapegPLw8pr5wLal?</v>
      </c>
      <c r="G1392"/>
      <c r="H1392" t="inlineStr">
        <is>
          <t>Pic Posts / Album</t>
        </is>
      </c>
      <c r="I1392" t="inlineStr">
        <is>
          <t>งานประจำวัน</t>
        </is>
      </c>
      <c r="J1392" t="inlineStr">
        <is>
          <t>Done</t>
        </is>
      </c>
      <c r="K1392"/>
      <c r="L1392" s="3"/>
      <c r="M1392" t="inlineStr">
        <is>
          <t>1</t>
        </is>
      </c>
      <c r="N1392" t="inlineStr">
        <is>
          <t>AI</t>
        </is>
      </c>
      <c r="O1392"/>
    </row>
    <row r="1393" ht="12.75" customHeight="1">
      <c r="A1393" t="inlineStr">
        <is>
          <t>Flow | AI สร้างภาพยนตร์ของ Google เปิดให้บริการในไทยแล้ว</t>
        </is>
      </c>
      <c r="B1393" t="inlineStr">
        <is>
          <t>Thitirath Kinaret</t>
        </is>
      </c>
      <c r="C1393" s="2">
        <v>45852</v>
      </c>
      <c r="D1393" s="2">
        <v>45852</v>
      </c>
      <c r="E1393" t="inlineStr">
        <is>
          <t>ปกติ</t>
        </is>
      </c>
      <c r="F1393" s="3" t="str">
        <f>=HYPERLINK("https://www.facebook.com/iPhonemod/posts/pfbid02hTD9NnaP9EmJo8DN43JvQ1wKrMdmyJ94nUSwyeQ8t9PRNX4jbpfiUy8eDrLBCVuBl?", "https://www.facebook.com/iPhonemod/posts/pfbid02hTD9NnaP9EmJo8DN43JvQ1wKrMdmyJ94nUSwyeQ8t9PRNX4jbpfiUy8eDrLBCVuBl?")</f>
        <v>https://www.facebook.com/iPhonemod/posts/pfbid02hTD9NnaP9EmJo8DN43JvQ1wKrMdmyJ94nUSwyeQ8t9PRNX4jbpfiUy8eDrLBCVuBl?</v>
      </c>
      <c r="G1393"/>
      <c r="H1393" t="inlineStr">
        <is>
          <t>Pic Posts / Album</t>
        </is>
      </c>
      <c r="I1393" t="inlineStr">
        <is>
          <t>งานประจำวัน</t>
        </is>
      </c>
      <c r="J1393" t="inlineStr">
        <is>
          <t>Done</t>
        </is>
      </c>
      <c r="K1393"/>
      <c r="L1393" s="3"/>
      <c r="M1393" t="inlineStr">
        <is>
          <t>1</t>
        </is>
      </c>
      <c r="N1393" t="inlineStr">
        <is>
          <t>AI</t>
        </is>
      </c>
      <c r="O1393"/>
    </row>
    <row r="1394" ht="12.75" customHeight="1">
      <c r="A1394" t="inlineStr">
        <is>
          <t>Tim Cook ยังไม่ออกจาก Apple อยู่ไปอีกอย่างน้อย 5 ปี</t>
        </is>
      </c>
      <c r="B1394" t="inlineStr">
        <is>
          <t>Thitirath Kinaret</t>
        </is>
      </c>
      <c r="C1394" s="2">
        <v>45852</v>
      </c>
      <c r="D1394" s="2">
        <v>45852</v>
      </c>
      <c r="E1394" t="inlineStr">
        <is>
          <t>ปกติ</t>
        </is>
      </c>
      <c r="F1394" s="3" t="str">
        <f>=HYPERLINK("https://www.facebook.com/iPhonemod/posts/pfbid0HwHYztbEAerZJbJEaJxAyPkaEtrnucsFaP6skoRa44KkGxQN5WVRWwNjFqnVpBdQl", "https://www.facebook.com/iPhonemod/posts/pfbid0HwHYztbEAerZJbJEaJxAyPkaEtrnucsFaP6skoRa44KkGxQN5WVRWwNjFqnVpBdQl")</f>
        <v>https://www.facebook.com/iPhonemod/posts/pfbid0HwHYztbEAerZJbJEaJxAyPkaEtrnucsFaP6skoRa44KkGxQN5WVRWwNjFqnVpBdQl</v>
      </c>
      <c r="G1394"/>
      <c r="H1394" t="inlineStr">
        <is>
          <t>Website, Pic Posts / Album</t>
        </is>
      </c>
      <c r="I1394" t="inlineStr">
        <is>
          <t>งานประจำวัน</t>
        </is>
      </c>
      <c r="J1394" t="inlineStr">
        <is>
          <t>Done</t>
        </is>
      </c>
      <c r="K1394"/>
      <c r="L1394" s="3"/>
      <c r="M1394" t="inlineStr">
        <is>
          <t>1</t>
        </is>
      </c>
      <c r="N1394" t="inlineStr">
        <is>
          <t>Apple</t>
        </is>
      </c>
      <c r="O1394"/>
    </row>
    <row r="1395" ht="12.75" customHeight="1">
      <c r="A1395" t="inlineStr">
        <is>
          <t>Studio7 โค้งสุดท้าย ช้อปคู่ iPhone&amp;Airpods4 รับส่วนลดสุดคุ้ม!</t>
        </is>
      </c>
      <c r="B1395" t="inlineStr">
        <is>
          <t>Thitirath Kinaret</t>
        </is>
      </c>
      <c r="C1395" s="2">
        <v>45852</v>
      </c>
      <c r="D1395" s="2">
        <v>45852</v>
      </c>
      <c r="E1395" t="inlineStr">
        <is>
          <t>ปกติ</t>
        </is>
      </c>
      <c r="F1395" s="3" t="str">
        <f>=HYPERLINK("https://www.facebook.com/iPhonemod/posts/pfbid028VNrZeYfGQHxJV4R9C12PWVQDrCKxv156RgRLvw9kwN16xRUN2dfLNCwe68CtgQfl?", "https://www.facebook.com/iPhonemod/posts/pfbid028VNrZeYfGQHxJV4R9C12PWVQDrCKxv156RgRLvw9kwN16xRUN2dfLNCwe68CtgQfl?")</f>
        <v>https://www.facebook.com/iPhonemod/posts/pfbid028VNrZeYfGQHxJV4R9C12PWVQDrCKxv156RgRLvw9kwN16xRUN2dfLNCwe68CtgQfl?</v>
      </c>
      <c r="G1395"/>
      <c r="H1395" t="inlineStr">
        <is>
          <t>Pic Posts / Album</t>
        </is>
      </c>
      <c r="I1395" t="inlineStr">
        <is>
          <t>งานลูกค้า</t>
        </is>
      </c>
      <c r="J1395" t="inlineStr">
        <is>
          <t>Done</t>
        </is>
      </c>
      <c r="K1395"/>
      <c r="L1395" s="3"/>
      <c r="M1395" t="inlineStr">
        <is>
          <t>1</t>
        </is>
      </c>
      <c r="N1395" t="inlineStr">
        <is>
          <t>Apple</t>
        </is>
      </c>
      <c r="O1395"/>
    </row>
    <row r="1396" ht="12.75" customHeight="1">
      <c r="A1396" t="inlineStr">
        <is>
          <t>ลือ! สีตัวเครื่อง iPhone 17, iPhone 17 Air</t>
        </is>
      </c>
      <c r="B1396" t="inlineStr">
        <is>
          <t>Thitirath Kinaret</t>
        </is>
      </c>
      <c r="C1396" s="2">
        <v>45852</v>
      </c>
      <c r="D1396" s="2">
        <v>45852</v>
      </c>
      <c r="E1396" t="inlineStr">
        <is>
          <t>ปกติ</t>
        </is>
      </c>
      <c r="F1396" s="3" t="str">
        <f>=HYPERLINK("https://www.facebook.com/iPhonemod/posts/pfbid02ydenP5NenQeah24ijWscerGwJiPJCbwo4kMbixvTwMDsKp256czyQkhuBxjjCNbGl?", "https://www.facebook.com/iPhonemod/posts/pfbid02ydenP5NenQeah24ijWscerGwJiPJCbwo4kMbixvTwMDsKp256czyQkhuBxjjCNbGl?")</f>
        <v>https://www.facebook.com/iPhonemod/posts/pfbid02ydenP5NenQeah24ijWscerGwJiPJCbwo4kMbixvTwMDsKp256czyQkhuBxjjCNbGl?</v>
      </c>
      <c r="G1396"/>
      <c r="H1396" t="inlineStr">
        <is>
          <t>Pic Posts / Album, Website</t>
        </is>
      </c>
      <c r="I1396" t="inlineStr">
        <is>
          <t>งานประจำวัน</t>
        </is>
      </c>
      <c r="J1396" t="inlineStr">
        <is>
          <t>Done</t>
        </is>
      </c>
      <c r="K1396"/>
      <c r="L1396" s="3"/>
      <c r="M1396" t="inlineStr">
        <is>
          <t>1</t>
        </is>
      </c>
      <c r="N1396" t="inlineStr">
        <is>
          <t>Apple</t>
        </is>
      </c>
      <c r="O1396"/>
    </row>
    <row r="1397" ht="12.75" customHeight="1">
      <c r="A1397" t="inlineStr">
        <is>
          <t>รวม AI ใช้ฟรี สำหรับผู้เริ่มต้น (อัปเดต ก.ค. 2025)</t>
        </is>
      </c>
      <c r="B1397" t="inlineStr">
        <is>
          <t>Thitirath Kinaret</t>
        </is>
      </c>
      <c r="C1397" s="2">
        <v>45852</v>
      </c>
      <c r="D1397" s="2">
        <v>45852</v>
      </c>
      <c r="E1397" t="inlineStr">
        <is>
          <t>ปกติ</t>
        </is>
      </c>
      <c r="F1397" s="3" t="str">
        <f>=HYPERLINK("https://www.facebook.com/iPhonemod/posts/pfbid02oRJA3oh5Jfbumf8cNiEs1iF7G7vZWaR35JCjKcEvy16356NU3XJEdeLzyzKmrzbCl?", "https://www.facebook.com/iPhonemod/posts/pfbid02oRJA3oh5Jfbumf8cNiEs1iF7G7vZWaR35JCjKcEvy16356NU3XJEdeLzyzKmrzbCl?")</f>
        <v>https://www.facebook.com/iPhonemod/posts/pfbid02oRJA3oh5Jfbumf8cNiEs1iF7G7vZWaR35JCjKcEvy16356NU3XJEdeLzyzKmrzbCl?</v>
      </c>
      <c r="G1397"/>
      <c r="H1397" t="inlineStr">
        <is>
          <t>Pic Posts / Album</t>
        </is>
      </c>
      <c r="I1397" t="inlineStr">
        <is>
          <t>งานประจำวัน</t>
        </is>
      </c>
      <c r="J1397" t="inlineStr">
        <is>
          <t>Done</t>
        </is>
      </c>
      <c r="K1397"/>
      <c r="L1397" s="3"/>
      <c r="M1397" t="inlineStr">
        <is>
          <t>1</t>
        </is>
      </c>
      <c r="N1397" t="inlineStr">
        <is>
          <t>AI</t>
        </is>
      </c>
      <c r="O1397"/>
    </row>
    <row r="1398" ht="12.75" customHeight="1">
      <c r="A1398" t="inlineStr">
        <is>
          <t>Galaxy S26+ อาจได้อัปเกรดกล้องครั้งใหญ่</t>
        </is>
      </c>
      <c r="B1398" t="inlineStr">
        <is>
          <t>Saktaphat Kordjan</t>
        </is>
      </c>
      <c r="C1398" s="2">
        <v>45852</v>
      </c>
      <c r="D1398" s="2"/>
      <c r="E1398" t="inlineStr">
        <is>
          <t>ปกติ</t>
        </is>
      </c>
      <c r="F1398" s="3"/>
      <c r="G1398"/>
      <c r="H1398" t="inlineStr">
        <is>
          <t>Website</t>
        </is>
      </c>
      <c r="I1398" t="inlineStr">
        <is>
          <t>งานประจำวัน</t>
        </is>
      </c>
      <c r="J1398" t="inlineStr">
        <is>
          <t>Done</t>
        </is>
      </c>
      <c r="K1398"/>
      <c r="L1398" s="3"/>
      <c r="M1398" t="inlineStr">
        <is>
          <t>1</t>
        </is>
      </c>
      <c r="N1398" t="inlineStr">
        <is>
          <t>Android</t>
        </is>
      </c>
      <c r="O1398"/>
    </row>
    <row r="1399" ht="12.75" customHeight="1">
      <c r="A1399" t="inlineStr">
        <is>
          <t>รวม AI ใช้ฟรี สำหรับผู้เริ่มต้น (อัปเดต ก.ค. 2025)</t>
        </is>
      </c>
      <c r="B1399" t="inlineStr">
        <is>
          <t>Thitirath Kinaret</t>
        </is>
      </c>
      <c r="C1399" s="2">
        <v>45852</v>
      </c>
      <c r="D1399" s="2">
        <v>45852</v>
      </c>
      <c r="E1399" t="inlineStr">
        <is>
          <t>ปกติ</t>
        </is>
      </c>
      <c r="F1399" s="3" t="str">
        <f>=HYPERLINK("https://www.facebook.com/iPhonemod/posts/pfbid0jsey8e4iTWFi56hnYABRYuq7sggV1LTJf88ztZTfX2u87gq7TD2CgxYCCMMTGZXgl", "https://www.facebook.com/iPhonemod/posts/pfbid0jsey8e4iTWFi56hnYABRYuq7sggV1LTJf88ztZTfX2u87gq7TD2CgxYCCMMTGZXgl")</f>
        <v>https://www.facebook.com/iPhonemod/posts/pfbid0jsey8e4iTWFi56hnYABRYuq7sggV1LTJf88ztZTfX2u87gq7TD2CgxYCCMMTGZXgl</v>
      </c>
      <c r="G1399"/>
      <c r="H1399" t="inlineStr">
        <is>
          <t>Pic Posts / Album</t>
        </is>
      </c>
      <c r="I1399" t="inlineStr">
        <is>
          <t>งานประจำวัน</t>
        </is>
      </c>
      <c r="J1399" t="inlineStr">
        <is>
          <t>Done</t>
        </is>
      </c>
      <c r="K1399"/>
      <c r="L1399" s="3"/>
      <c r="M1399" t="inlineStr">
        <is>
          <t>1</t>
        </is>
      </c>
      <c r="N1399" t="inlineStr">
        <is>
          <t>AI</t>
        </is>
      </c>
      <c r="O1399"/>
    </row>
    <row r="1400" ht="12.75" customHeight="1">
      <c r="A1400" t="inlineStr">
        <is>
          <t xml:space="preserve"> iPhone 17 อาจเปิดตัวสัปดาห์ของวันที่ 8 ก.ย. 2025</t>
        </is>
      </c>
      <c r="B1400" t="inlineStr">
        <is>
          <t>Thitirath Kinaret</t>
        </is>
      </c>
      <c r="C1400" s="2">
        <v>45852</v>
      </c>
      <c r="D1400" s="2">
        <v>45852</v>
      </c>
      <c r="E1400" t="inlineStr">
        <is>
          <t>ปกติ</t>
        </is>
      </c>
      <c r="F1400" s="3" t="str">
        <f>=HYPERLINK("https://www.facebook.com/iPhonemod/posts/pfbid0nVnWpC3sWpfnbNjx3Ph6oC9zN3SRsZh53maXj2aGqMjcpUiQN6aveLQ39PdYhki7l?__cft__[0]=AZW4phI943Dsg-8qZImbeLD3Y84WpMwlrO_R34C_NVu7h6rqas8Njh895J4ChP9GH7EjiRRwhM2UUqI_ZVL8dywpeRNfw9Ie-5xQ_fM4dcNnbKqPkaOWr6BsiJ1xqO4I_OkGgbl9YErtPM2eWN8qnVhtt6-BgLvB68XBHWxvLrqDRB3tsTBVI84FAIC3vi4hrhV-5-f1Qf_rlUqCxb40Zcfl&amp;__tn__=%2CO%2CP-R", "https://www.facebook.com/iPhonemod/posts/pfbid0nVnWpC3sWpfnbNjx3Ph6oC9zN3SRsZh53maXj2aGqMjcpUiQN6aveLQ39PdYhki7l?__cft__[0]=AZW4phI943Dsg-8qZImbeLD3Y84WpMwlrO_R34C_NVu7h6rqas8Njh895J4ChP9GH7EjiRRwhM2UUqI_ZVL8dywpeRNfw9Ie-5xQ_fM4dcNnbKqPkaOWr6BsiJ1xqO4I_OkGgbl9YErtPM2eWN8qnVhtt6-BgLvB68XBHWxvLrqDRB3tsTBVI84FAIC3vi4hrhV-5-f1Qf_rlUqCxb40Zcfl&amp;__tn__=%2CO%2CP-R")</f>
        <v>https://www.facebook.com/iPhonemod/posts/pfbid0nVnWpC3sWpfnbNjx3Ph6oC9zN3SRsZh53maXj2aGqMjcpUiQN6aveLQ39PdYhki7l?__cft__[0]=AZW4phI943Dsg-8qZImbeLD3Y84WpMwlrO_R34C_NVu7h6rqas8Njh895J4ChP9GH7EjiRRwhM2UUqI_ZVL8dywpeRNfw9Ie-5xQ_fM4dcNnbKqPkaOWr6BsiJ1xqO4I_OkGgbl9YErtPM2eWN8qnVhtt6-BgLvB68XBHWxvLrqDRB3tsTBVI84FAIC3vi4hrhV-5-f1Qf_rlUqCxb40Zcfl&amp;__tn__=%2CO%2CP-R</v>
      </c>
      <c r="G1400"/>
      <c r="H1400" t="inlineStr">
        <is>
          <t>Pic Posts / Album, Website</t>
        </is>
      </c>
      <c r="I1400" t="inlineStr">
        <is>
          <t>งานประจำวัน</t>
        </is>
      </c>
      <c r="J1400" t="inlineStr">
        <is>
          <t>Done</t>
        </is>
      </c>
      <c r="K1400"/>
      <c r="L1400" s="3"/>
      <c r="M1400" t="inlineStr">
        <is>
          <t>1</t>
        </is>
      </c>
      <c r="N1400" t="inlineStr">
        <is>
          <t>Apple</t>
        </is>
      </c>
      <c r="O1400"/>
    </row>
    <row r="1401" ht="12.75" customHeight="1">
      <c r="A1401" t="inlineStr">
        <is>
          <t>BaNANA Samsung Galaxy Z Flip7 / Fold 7 2025</t>
        </is>
      </c>
      <c r="B1401" t="inlineStr">
        <is>
          <t>Thitirath Kinaret</t>
        </is>
      </c>
      <c r="C1401" s="2">
        <v>45850</v>
      </c>
      <c r="D1401" s="2">
        <v>45849</v>
      </c>
      <c r="E1401" t="inlineStr">
        <is>
          <t>ปกติ</t>
        </is>
      </c>
      <c r="F1401" s="3"/>
      <c r="G1401"/>
      <c r="H1401" t="inlineStr">
        <is>
          <t>Pic Posts / Album</t>
        </is>
      </c>
      <c r="I1401" t="inlineStr">
        <is>
          <t>งานลูกค้า</t>
        </is>
      </c>
      <c r="J1401" t="inlineStr">
        <is>
          <t>Done</t>
        </is>
      </c>
      <c r="K1401"/>
      <c r="L1401" s="3" t="str">
        <f>=HYPERLINK("https://www.facebook.com/iPhonemod/posts/pfbid018oXvnAvoiq3y9jfWW2EztoDUzTCwoKFSF2UduqzTKiEAop2kyMMDtVZynPKpvxml?__cft__[0]=AZVjZ_viKboNqt7ggMkWM6yEtd88-uI0sPevEOHq5uWNAaS7-KQepaHfwweUOwNTrFk2SrQWoiBpqdhFP2Oy4HRbOnRr1zA3lDKG8K_M4sKkFrbmM1U1q2J6_UbXgeWCk0Dc1Q10RhLJoF9_AouRp1jVA-hYFMcZveuFGrk3tH-CucAzt4EccG-_P7hKGlPmMww-BPJ2Cc7Fzc2vc9HJMw-j&amp;__tn__=%2CO%2CP-R", "https://www.facebook.com/iPhonemod/posts/pfbid018oXvnAvoiq3y9jfWW2EztoDUzTCwoKFSF2UduqzTKiEAop2kyMMDtVZynPKpvxml?__cft__[0]=AZVjZ_viKboNqt7ggMkWM6yEtd88-uI0sPevEOHq5uWNAaS7-KQepaHfwweUOwNTrFk2SrQWoiBpqdhFP2Oy4HRbOnRr1zA3lDKG8K_M4sKkFrbmM1U1q2J6_UbXgeWCk0Dc1Q10RhLJoF9_AouRp1jVA-hYFMcZveuFGrk3tH-CucAzt4EccG-_P7hKGlPmMww-BPJ2Cc7Fzc2vc9HJMw-j&amp;__tn__=%2CO%2CP-R")</f>
        <v>https://www.facebook.com/iPhonemod/posts/pfbid018oXvnAvoiq3y9jfWW2EztoDUzTCwoKFSF2UduqzTKiEAop2kyMMDtVZynPKpvxml?__cft__[0]=AZVjZ_viKboNqt7ggMkWM6yEtd88-uI0sPevEOHq5uWNAaS7-KQepaHfwweUOwNTrFk2SrQWoiBpqdhFP2Oy4HRbOnRr1zA3lDKG8K_M4sKkFrbmM1U1q2J6_UbXgeWCk0Dc1Q10RhLJoF9_AouRp1jVA-hYFMcZveuFGrk3tH-CucAzt4EccG-_P7hKGlPmMww-BPJ2Cc7Fzc2vc9HJMw-j&amp;__tn__=%2CO%2CP-R</v>
      </c>
      <c r="M1401" t="inlineStr">
        <is>
          <t>1</t>
        </is>
      </c>
      <c r="N1401" t="inlineStr">
        <is>
          <t>Android</t>
        </is>
      </c>
      <c r="O1401"/>
    </row>
    <row r="1402" ht="12.75" customHeight="1">
      <c r="A1402" t="inlineStr">
        <is>
          <t>Synnex ผนึกพันธมิตร ยกขบวนสินค้าไอทีคุณภาพ ร่วมงาน Commart 2025 “Commart Unlimit”
</t>
        </is>
      </c>
      <c r="B1402" t="inlineStr">
        <is>
          <t>Thitirath Kinaret</t>
        </is>
      </c>
      <c r="C1402" s="2">
        <v>45850</v>
      </c>
      <c r="D1402" s="2">
        <v>45850</v>
      </c>
      <c r="E1402" t="inlineStr">
        <is>
          <t>ปกติ</t>
        </is>
      </c>
      <c r="F1402" s="3" t="str">
        <f>=HYPERLINK("https://www.iphonemod.net/synnex-commart-2025-event-pr.html", "https://www.iphonemod.net/synnex-commart-2025-event-pr.html")</f>
        <v>https://www.iphonemod.net/synnex-commart-2025-event-pr.html</v>
      </c>
      <c r="G1402"/>
      <c r="H1402" t="inlineStr">
        <is>
          <t>Website</t>
        </is>
      </c>
      <c r="I1402" t="inlineStr">
        <is>
          <t>งานลูกค้า</t>
        </is>
      </c>
      <c r="J1402" t="inlineStr">
        <is>
          <t>Done</t>
        </is>
      </c>
      <c r="K1402"/>
      <c r="L1402" s="3"/>
      <c r="M1402" t="inlineStr">
        <is>
          <t>1</t>
        </is>
      </c>
      <c r="N1402" t="inlineStr">
        <is>
          <t>PR</t>
        </is>
      </c>
      <c r="O1402"/>
    </row>
    <row r="1403" ht="12.75" customHeight="1">
      <c r="A1403" t="inlineStr">
        <is>
          <t>เปิดตัว Samsung Galaxy Watch8 Series</t>
        </is>
      </c>
      <c r="B1403" t="inlineStr">
        <is>
          <t>Nattida Suriyodara</t>
        </is>
      </c>
      <c r="C1403" s="2">
        <v>45848</v>
      </c>
      <c r="D1403" s="2"/>
      <c r="E1403" t="inlineStr">
        <is>
          <t>ปกติ</t>
        </is>
      </c>
      <c r="F1403" s="3"/>
      <c r="G1403"/>
      <c r="H1403" t="inlineStr">
        <is>
          <t>Website</t>
        </is>
      </c>
      <c r="I1403" t="inlineStr">
        <is>
          <t>งานประจำวัน</t>
        </is>
      </c>
      <c r="J1403" t="inlineStr">
        <is>
          <t>Done</t>
        </is>
      </c>
      <c r="K1403"/>
      <c r="L1403" s="3" t="str">
        <f>=HYPERLINK("https://www.iphonemod.net/#google_vignette", "https://www.iphonemod.net/#google_vignette")</f>
        <v>https://www.iphonemod.net/#google_vignette</v>
      </c>
      <c r="M1403" t="inlineStr">
        <is>
          <t>1</t>
        </is>
      </c>
      <c r="N1403" t="inlineStr">
        <is>
          <t>Android</t>
        </is>
      </c>
      <c r="O1403"/>
    </row>
    <row r="1404" ht="12.75" customHeight="1">
      <c r="A1404" t="inlineStr">
        <is>
          <t>เปิดตัว! Galaxy Z Fold7 สมาร์ตโฟนจอพับที่เบา บางสุด ใน Z Fold Series</t>
        </is>
      </c>
      <c r="B1404" t="inlineStr">
        <is>
          <t>Sasithakan Sritonthip</t>
        </is>
      </c>
      <c r="C1404" s="2">
        <v>45848</v>
      </c>
      <c r="D1404" s="2"/>
      <c r="E1404" t="inlineStr">
        <is>
          <t>ปกติ</t>
        </is>
      </c>
      <c r="F1404" s="3" t="str">
        <f>=HYPERLINK("https://drive.google.com/drive/folders/1Kxk9ggC8y-YFA8jLtTIuhckvXnxmPRAI", "https://drive.google.com/drive/folders/1Kxk9ggC8y-YFA8jLtTIuhckvXnxmPRAI")</f>
        <v>https://drive.google.com/drive/folders/1Kxk9ggC8y-YFA8jLtTIuhckvXnxmPRAI</v>
      </c>
      <c r="G1404"/>
      <c r="H1404" t="inlineStr">
        <is>
          <t>Website</t>
        </is>
      </c>
      <c r="I1404" t="inlineStr">
        <is>
          <t>งานประจำวัน</t>
        </is>
      </c>
      <c r="J1404" t="inlineStr">
        <is>
          <t>Done</t>
        </is>
      </c>
      <c r="K1404"/>
      <c r="L1404" s="3"/>
      <c r="M1404" t="inlineStr">
        <is>
          <t>1</t>
        </is>
      </c>
      <c r="N1404" t="inlineStr">
        <is>
          <t>Android</t>
        </is>
      </c>
      <c r="O1404"/>
    </row>
    <row r="1405" ht="12.75" customHeight="1">
      <c r="A1405" t="inlineStr">
        <is>
          <t>สรุปสเปค Galaxy Z Flip7 FE</t>
        </is>
      </c>
      <c r="B1405" t="inlineStr">
        <is>
          <t>Saktaphat Kordjan,Sasithakan Sritonthip</t>
        </is>
      </c>
      <c r="C1405" s="2">
        <v>45848</v>
      </c>
      <c r="D1405" s="2"/>
      <c r="E1405" t="inlineStr">
        <is>
          <t>ปกติ</t>
        </is>
      </c>
      <c r="F1405" s="3" t="str">
        <f>=HYPERLINK("https://drive.google.com/drive/folders/115Dp2AkzSLDiOR8u2k566qfFFbL1-945", "https://drive.google.com/drive/folders/115Dp2AkzSLDiOR8u2k566qfFFbL1-945")</f>
        <v>https://drive.google.com/drive/folders/115Dp2AkzSLDiOR8u2k566qfFFbL1-945</v>
      </c>
      <c r="G1405"/>
      <c r="H1405" t="inlineStr">
        <is>
          <t>Shorts</t>
        </is>
      </c>
      <c r="I1405" t="inlineStr">
        <is>
          <t>งานประจำวัน</t>
        </is>
      </c>
      <c r="J1405" t="inlineStr">
        <is>
          <t>Done</t>
        </is>
      </c>
      <c r="K1405"/>
      <c r="L1405" s="3"/>
      <c r="M1405" t="inlineStr">
        <is>
          <t>1</t>
        </is>
      </c>
      <c r="N1405" t="inlineStr">
        <is>
          <t>Android</t>
        </is>
      </c>
      <c r="O1405"/>
    </row>
    <row r="1406" ht="12.75" customHeight="1">
      <c r="A1406" t="inlineStr">
        <is>
          <t>AIS-Galaxy-Z-Series</t>
        </is>
      </c>
      <c r="B1406" t="inlineStr">
        <is>
          <t>Nattida Suriyodara</t>
        </is>
      </c>
      <c r="C1406" s="2">
        <v>45848</v>
      </c>
      <c r="D1406" s="2"/>
      <c r="E1406" t="inlineStr">
        <is>
          <t>ปกติ</t>
        </is>
      </c>
      <c r="F1406" s="3"/>
      <c r="G1406"/>
      <c r="H1406" t="inlineStr">
        <is>
          <t>Website</t>
        </is>
      </c>
      <c r="I1406" t="inlineStr">
        <is>
          <t>งานลูกค้า</t>
        </is>
      </c>
      <c r="J1406" t="inlineStr">
        <is>
          <t>Done</t>
        </is>
      </c>
      <c r="K1406"/>
      <c r="L1406" s="3" t="str">
        <f>=HYPERLINK("https://www.iphonemod.net/ais-5g-samsung-galaxy-z-flip-fold-7.html", "https://www.iphonemod.net/ais-5g-samsung-galaxy-z-flip-fold-7.html")</f>
        <v>https://www.iphonemod.net/ais-5g-samsung-galaxy-z-flip-fold-7.html</v>
      </c>
      <c r="M1406" t="inlineStr">
        <is>
          <t>1</t>
        </is>
      </c>
      <c r="N1406" t="inlineStr">
        <is>
          <t>PR</t>
        </is>
      </c>
      <c r="O1406"/>
    </row>
    <row r="1407" ht="12.75" customHeight="1">
      <c r="A1407" t="inlineStr">
        <is>
          <t>เปิดตัว Galaxy Z Flip7 และ Flip7 FE</t>
        </is>
      </c>
      <c r="B1407" t="inlineStr">
        <is>
          <t>Saktaphat Kordjan</t>
        </is>
      </c>
      <c r="C1407" s="2">
        <v>45848</v>
      </c>
      <c r="D1407" s="2"/>
      <c r="E1407" t="inlineStr">
        <is>
          <t>ปกติ</t>
        </is>
      </c>
      <c r="F1407" s="3"/>
      <c r="G1407"/>
      <c r="H1407" t="inlineStr">
        <is>
          <t>Website</t>
        </is>
      </c>
      <c r="I1407" t="inlineStr">
        <is>
          <t>งานประจำวัน</t>
        </is>
      </c>
      <c r="J1407" t="inlineStr">
        <is>
          <t>Done</t>
        </is>
      </c>
      <c r="K1407"/>
      <c r="L1407" s="3"/>
      <c r="M1407" t="inlineStr">
        <is>
          <t>1</t>
        </is>
      </c>
      <c r="N1407" t="inlineStr">
        <is>
          <t>Android</t>
        </is>
      </c>
      <c r="O1407"/>
    </row>
    <row r="1408" ht="12.75" customHeight="1">
      <c r="A1408" t="inlineStr">
        <is>
          <t>สรุปงาน Galaxy Unpacked 2025</t>
        </is>
      </c>
      <c r="B1408" t="inlineStr">
        <is>
          <t>Saktaphat Kordjan</t>
        </is>
      </c>
      <c r="C1408" s="2">
        <v>45848</v>
      </c>
      <c r="D1408" s="2"/>
      <c r="E1408" t="inlineStr">
        <is>
          <t>ปกติ</t>
        </is>
      </c>
      <c r="F1408" s="3"/>
      <c r="G1408"/>
      <c r="H1408" t="inlineStr">
        <is>
          <t>YouTube</t>
        </is>
      </c>
      <c r="I1408" t="inlineStr">
        <is>
          <t>งานประจำวัน</t>
        </is>
      </c>
      <c r="J1408" t="inlineStr">
        <is>
          <t>Done</t>
        </is>
      </c>
      <c r="K1408"/>
      <c r="L1408" s="3"/>
      <c r="M1408" t="inlineStr">
        <is>
          <t>1</t>
        </is>
      </c>
      <c r="N1408" t="inlineStr">
        <is>
          <t>Android</t>
        </is>
      </c>
      <c r="O1408"/>
    </row>
    <row r="1409" ht="12.75" customHeight="1">
      <c r="A1409" t="inlineStr">
        <is>
          <t xml:space="preserve"> Z Fold 7 ไมารองรับ S Pen</t>
        </is>
      </c>
      <c r="B1409" t="inlineStr">
        <is>
          <t>Saktaphat Kordjan</t>
        </is>
      </c>
      <c r="C1409" s="2">
        <v>45848</v>
      </c>
      <c r="D1409" s="2"/>
      <c r="E1409" t="inlineStr">
        <is>
          <t>ปกติ</t>
        </is>
      </c>
      <c r="F1409" s="3"/>
      <c r="G1409"/>
      <c r="H1409" t="inlineStr">
        <is>
          <t>Shorts</t>
        </is>
      </c>
      <c r="I1409" t="inlineStr">
        <is>
          <t>งานประจำวัน</t>
        </is>
      </c>
      <c r="J1409" t="inlineStr">
        <is>
          <t>Done</t>
        </is>
      </c>
      <c r="K1409"/>
      <c r="L1409" s="3"/>
      <c r="M1409" t="inlineStr">
        <is>
          <t>1</t>
        </is>
      </c>
      <c r="N1409" t="inlineStr">
        <is>
          <t>Android</t>
        </is>
      </c>
      <c r="O1409"/>
    </row>
    <row r="1410" ht="12.75" customHeight="1">
      <c r="A1410" t="inlineStr">
        <is>
          <t xml:space="preserve">สรุปสเปค Galaxy Z Fold 7 </t>
        </is>
      </c>
      <c r="B1410" t="inlineStr">
        <is>
          <t>Saktaphat Kordjan</t>
        </is>
      </c>
      <c r="C1410" s="2">
        <v>45848</v>
      </c>
      <c r="D1410" s="2"/>
      <c r="E1410" t="inlineStr">
        <is>
          <t>ปกติ</t>
        </is>
      </c>
      <c r="F1410" s="3"/>
      <c r="G1410"/>
      <c r="H1410" t="inlineStr">
        <is>
          <t>Shorts</t>
        </is>
      </c>
      <c r="I1410" t="inlineStr">
        <is>
          <t>งานประจำวัน</t>
        </is>
      </c>
      <c r="J1410" t="inlineStr">
        <is>
          <t>Done</t>
        </is>
      </c>
      <c r="K1410"/>
      <c r="L1410" s="3"/>
      <c r="M1410" t="inlineStr">
        <is>
          <t>1</t>
        </is>
      </c>
      <c r="N1410" t="inlineStr">
        <is>
          <t>Android</t>
        </is>
      </c>
      <c r="O1410"/>
    </row>
    <row r="1411" ht="12.75" customHeight="1">
      <c r="A1411" t="inlineStr">
        <is>
          <t>สรุปสเปค Z Flip 7</t>
        </is>
      </c>
      <c r="B1411" t="inlineStr">
        <is>
          <t>Saktaphat Kordjan,Sasithakan Sritonthip</t>
        </is>
      </c>
      <c r="C1411" s="2">
        <v>45848</v>
      </c>
      <c r="D1411" s="2"/>
      <c r="E1411" t="inlineStr">
        <is>
          <t>ปกติ</t>
        </is>
      </c>
      <c r="F1411" s="3"/>
      <c r="G1411"/>
      <c r="H1411" t="inlineStr">
        <is>
          <t>Shorts</t>
        </is>
      </c>
      <c r="I1411" t="inlineStr">
        <is>
          <t>งานประจำวัน</t>
        </is>
      </c>
      <c r="J1411" t="inlineStr">
        <is>
          <t>Done</t>
        </is>
      </c>
      <c r="K1411"/>
      <c r="L1411" s="3"/>
      <c r="M1411" t="inlineStr">
        <is>
          <t>1</t>
        </is>
      </c>
      <c r="N1411" t="inlineStr">
        <is>
          <t>Android</t>
        </is>
      </c>
      <c r="O1411"/>
    </row>
    <row r="1412" ht="12.75" customHeight="1">
      <c r="A1412" t="inlineStr">
        <is>
          <t>Grok4</t>
        </is>
      </c>
      <c r="B1412" t="inlineStr">
        <is>
          <t>Nattida Suriyodara</t>
        </is>
      </c>
      <c r="C1412" s="2">
        <v>45848</v>
      </c>
      <c r="D1412" s="2"/>
      <c r="E1412" t="inlineStr">
        <is>
          <t>ปกติ</t>
        </is>
      </c>
      <c r="F1412" s="3"/>
      <c r="G1412"/>
      <c r="H1412" t="inlineStr">
        <is>
          <t>Website</t>
        </is>
      </c>
      <c r="I1412" t="inlineStr">
        <is>
          <t>งานประจำวัน</t>
        </is>
      </c>
      <c r="J1412" t="inlineStr">
        <is>
          <t>Done</t>
        </is>
      </c>
      <c r="K1412"/>
      <c r="L1412" s="3"/>
      <c r="M1412" t="inlineStr">
        <is>
          <t>1</t>
        </is>
      </c>
      <c r="N1412" t="inlineStr">
        <is>
          <t>AI</t>
        </is>
      </c>
      <c r="O1412"/>
    </row>
    <row r="1413" ht="12.75" customHeight="1">
      <c r="A1413" t="inlineStr">
        <is>
          <t>BaNANA เปิดจองแล้ว! Galaxy Z Fold7 | Z Flip7</t>
        </is>
      </c>
      <c r="B1413" t="inlineStr">
        <is>
          <t>Thitirath Kinaret</t>
        </is>
      </c>
      <c r="C1413" s="2">
        <v>45848</v>
      </c>
      <c r="D1413" s="2">
        <v>45848</v>
      </c>
      <c r="E1413" t="inlineStr">
        <is>
          <t>ปกติ</t>
        </is>
      </c>
      <c r="F1413" s="3" t="str">
        <f>=HYPERLINK("https://www.facebook.com/iPhonemod/posts/pfbid02nzcXo4Zc8wAx8KGfyAYXBxAS93wufPZBhvzeEAmzZB4fHEfUxGUQhqxRSWvuvTfel?__cft__[0]=AZVS_gSk8TqMggSG5WVh3r6Hjd3g96qSbGOu14uwt7XoMbzgstvEVF4WRWfXNIBwWAeRH82OCrMjqW5Ojc6NphpQXMB56sT4iQAik_GX59MaNURm64QHyrCdXx3LnvZ0FqVDZ4FKsDchgYxN8x_6InnOiwk1BOkAqtvJ68kY0zH2OxpTAJ82NanQ3yWlVF3hM5S4s_uFAaAluxDVrCuRhb4V&amp;__tn__=%2CO%2CP-R", "https://www.facebook.com/iPhonemod/posts/pfbid02nzcXo4Zc8wAx8KGfyAYXBxAS93wufPZBhvzeEAmzZB4fHEfUxGUQhqxRSWvuvTfel?__cft__[0]=AZVS_gSk8TqMggSG5WVh3r6Hjd3g96qSbGOu14uwt7XoMbzgstvEVF4WRWfXNIBwWAeRH82OCrMjqW5Ojc6NphpQXMB56sT4iQAik_GX59MaNURm64QHyrCdXx3LnvZ0FqVDZ4FKsDchgYxN8x_6InnOiwk1BOkAqtvJ68kY0zH2OxpTAJ82NanQ3yWlVF3hM5S4s_uFAaAluxDVrCuRhb4V&amp;__tn__=%2CO%2CP-R")</f>
        <v>https://www.facebook.com/iPhonemod/posts/pfbid02nzcXo4Zc8wAx8KGfyAYXBxAS93wufPZBhvzeEAmzZB4fHEfUxGUQhqxRSWvuvTfel?__cft__[0]=AZVS_gSk8TqMggSG5WVh3r6Hjd3g96qSbGOu14uwt7XoMbzgstvEVF4WRWfXNIBwWAeRH82OCrMjqW5Ojc6NphpQXMB56sT4iQAik_GX59MaNURm64QHyrCdXx3LnvZ0FqVDZ4FKsDchgYxN8x_6InnOiwk1BOkAqtvJ68kY0zH2OxpTAJ82NanQ3yWlVF3hM5S4s_uFAaAluxDVrCuRhb4V&amp;__tn__=%2CO%2CP-R</v>
      </c>
      <c r="G1413"/>
      <c r="H1413" t="inlineStr">
        <is>
          <t>Pic Posts / Album</t>
        </is>
      </c>
      <c r="I1413" t="inlineStr">
        <is>
          <t>งานลูกค้า</t>
        </is>
      </c>
      <c r="J1413" t="inlineStr">
        <is>
          <t>Done</t>
        </is>
      </c>
      <c r="K1413"/>
      <c r="L1413" s="3"/>
      <c r="M1413" t="inlineStr">
        <is>
          <t>1</t>
        </is>
      </c>
      <c r="N1413" t="inlineStr">
        <is>
          <t>Android</t>
        </is>
      </c>
      <c r="O1413"/>
    </row>
    <row r="1414" ht="12.75" customHeight="1">
      <c r="A1414" t="inlineStr">
        <is>
          <t xml:space="preserve">Photon Matrix เปิดตัวเครื่องยิงยุงด้วยเลเซอร์ </t>
        </is>
      </c>
      <c r="B1414" t="inlineStr">
        <is>
          <t>Thitirath Kinaret</t>
        </is>
      </c>
      <c r="C1414" s="2">
        <v>45848</v>
      </c>
      <c r="D1414" s="2">
        <v>45848</v>
      </c>
      <c r="E1414" t="inlineStr">
        <is>
          <t>ปกติ</t>
        </is>
      </c>
      <c r="F1414" s="3" t="str">
        <f>=HYPERLINK("https://www.facebook.com/iPhonemod/posts/pfbid02QEvDz2M1igXRRTBwb33buNf7bdUhzKo9y8jFXh1ncG1m1wXUzDnmWno8CY8JUhMQl?__cft__[0]=AZWCqdow5f2MtHYQrlY6e1xD6FtEKRTsodzsQu5owV2YY1fX1ua_1rO7BDi7flTW0_lze7OL0tSjHfrujP9wkxPZLqMen39yOe2iNXB9IbNm6ulxy-EzK_vGRdgnukA4yc3VumVstIy7UauYPTG4wY1dA0SpsIDzerhJNQKlrmvoURDiHOuv2o61Jhi7sGGKC-lyql9AF1IT7z9MWLbi32w2&amp;__tn__=%2CO%2CP-R", "https://www.facebook.com/iPhonemod/posts/pfbid02QEvDz2M1igXRRTBwb33buNf7bdUhzKo9y8jFXh1ncG1m1wXUzDnmWno8CY8JUhMQl?__cft__[0]=AZWCqdow5f2MtHYQrlY6e1xD6FtEKRTsodzsQu5owV2YY1fX1ua_1rO7BDi7flTW0_lze7OL0tSjHfrujP9wkxPZLqMen39yOe2iNXB9IbNm6ulxy-EzK_vGRdgnukA4yc3VumVstIy7UauYPTG4wY1dA0SpsIDzerhJNQKlrmvoURDiHOuv2o61Jhi7sGGKC-lyql9AF1IT7z9MWLbi32w2&amp;__tn__=%2CO%2CP-R")</f>
        <v>https://www.facebook.com/iPhonemod/posts/pfbid02QEvDz2M1igXRRTBwb33buNf7bdUhzKo9y8jFXh1ncG1m1wXUzDnmWno8CY8JUhMQl?__cft__[0]=AZWCqdow5f2MtHYQrlY6e1xD6FtEKRTsodzsQu5owV2YY1fX1ua_1rO7BDi7flTW0_lze7OL0tSjHfrujP9wkxPZLqMen39yOe2iNXB9IbNm6ulxy-EzK_vGRdgnukA4yc3VumVstIy7UauYPTG4wY1dA0SpsIDzerhJNQKlrmvoURDiHOuv2o61Jhi7sGGKC-lyql9AF1IT7z9MWLbi32w2&amp;__tn__=%2CO%2CP-R</v>
      </c>
      <c r="G1414"/>
      <c r="H1414" t="inlineStr">
        <is>
          <t>Pic Posts / Album</t>
        </is>
      </c>
      <c r="I1414" t="inlineStr">
        <is>
          <t>งานประจำวัน</t>
        </is>
      </c>
      <c r="J1414" t="inlineStr">
        <is>
          <t>Done</t>
        </is>
      </c>
      <c r="K1414"/>
      <c r="L1414" s="3"/>
      <c r="M1414" t="inlineStr">
        <is>
          <t>1</t>
        </is>
      </c>
      <c r="N1414" t="inlineStr">
        <is>
          <t>Tech</t>
        </is>
      </c>
      <c r="O1414"/>
    </row>
    <row r="1415" ht="12.75" customHeight="1">
      <c r="A1415" t="inlineStr">
        <is>
          <t xml:space="preserve">Galaxy Z Fold7 ไม่รองรับ S Pen เอารุ่นเก่ามาใช้ก็ไม่ได้ ... </t>
        </is>
      </c>
      <c r="B1415" t="inlineStr">
        <is>
          <t>Thitirath Kinaret</t>
        </is>
      </c>
      <c r="C1415" s="2">
        <v>45848</v>
      </c>
      <c r="D1415" s="2">
        <v>45848</v>
      </c>
      <c r="E1415" t="inlineStr">
        <is>
          <t>ปกติ</t>
        </is>
      </c>
      <c r="F1415" s="3" t="str">
        <f>=HYPERLINK("https://www.facebook.com/iPhonemod/posts/pfbid02EAY22nQ5rP84Hr9dw7Fw6v5K6XFGnseK81aVg8nsuhXiQf1u9ZKo35T5rfAPYFphl?__cft__[0]=AZUmfh7zgt5Zb3zP-RsuBuCIGHwDTznpfGr4sD3CHT1hRcEcqyh0RNLWlt-_9JNKsbHuBq0M87PYezIUXXV0Li3EMv1aXkDA8Fw8NviX_viU5RmC506CXoAPbA5Bgmrm3kUucTzpL-27Fmv8iV5sjRcZLElzrgGGnKIljs7ZD3jNfjUNOMhnRggWUGc1GifFg33X9Syq1EshEkey85FAjlMf&amp;__tn__=%2CO%2CP-R", "https://www.facebook.com/iPhonemod/posts/pfbid02EAY22nQ5rP84Hr9dw7Fw6v5K6XFGnseK81aVg8nsuhXiQf1u9ZKo35T5rfAPYFphl?__cft__[0]=AZUmfh7zgt5Zb3zP-RsuBuCIGHwDTznpfGr4sD3CHT1hRcEcqyh0RNLWlt-_9JNKsbHuBq0M87PYezIUXXV0Li3EMv1aXkDA8Fw8NviX_viU5RmC506CXoAPbA5Bgmrm3kUucTzpL-27Fmv8iV5sjRcZLElzrgGGnKIljs7ZD3jNfjUNOMhnRggWUGc1GifFg33X9Syq1EshEkey85FAjlMf&amp;__tn__=%2CO%2CP-R")</f>
        <v>https://www.facebook.com/iPhonemod/posts/pfbid02EAY22nQ5rP84Hr9dw7Fw6v5K6XFGnseK81aVg8nsuhXiQf1u9ZKo35T5rfAPYFphl?__cft__[0]=AZUmfh7zgt5Zb3zP-RsuBuCIGHwDTznpfGr4sD3CHT1hRcEcqyh0RNLWlt-_9JNKsbHuBq0M87PYezIUXXV0Li3EMv1aXkDA8Fw8NviX_viU5RmC506CXoAPbA5Bgmrm3kUucTzpL-27Fmv8iV5sjRcZLElzrgGGnKIljs7ZD3jNfjUNOMhnRggWUGc1GifFg33X9Syq1EshEkey85FAjlMf&amp;__tn__=%2CO%2CP-R</v>
      </c>
      <c r="G1415"/>
      <c r="H1415" t="inlineStr">
        <is>
          <t>Pic Posts / Album</t>
        </is>
      </c>
      <c r="I1415" t="inlineStr">
        <is>
          <t>งานประจำวัน</t>
        </is>
      </c>
      <c r="J1415" t="inlineStr">
        <is>
          <t>Done</t>
        </is>
      </c>
      <c r="K1415"/>
      <c r="L1415" s="3"/>
      <c r="M1415" t="inlineStr">
        <is>
          <t>1</t>
        </is>
      </c>
      <c r="N1415" t="inlineStr">
        <is>
          <t>Android</t>
        </is>
      </c>
      <c r="O1415"/>
    </row>
    <row r="1416" ht="12.75" customHeight="1">
      <c r="A1416" t="inlineStr">
        <is>
          <t>รวมราคา Galaxy Z Fold7 | Galaxy Z Flip7 | Galaxy Z Flip7 FE
</t>
        </is>
      </c>
      <c r="B1416" t="inlineStr">
        <is>
          <t>Thitirath Kinaret</t>
        </is>
      </c>
      <c r="C1416" s="2">
        <v>45848</v>
      </c>
      <c r="D1416" s="2">
        <v>45848</v>
      </c>
      <c r="E1416" t="inlineStr">
        <is>
          <t>ปกติ</t>
        </is>
      </c>
      <c r="F1416" s="3" t="str">
        <f>=HYPERLINK("https://www.facebook.com/iPhonemod/posts/pfbid036fstzweuWa59hAyrwedigobAoVFBfDDLfk3xGnKwV8GkPfZU5JjFS8GJZJMYbYKol?__cft__[0]=AZWLo1q-dvbivK4Y4u15jCIicHDNQAJnE3521733XzgjM1RXydNy-WhbdLfeR_gHKuOw1w6pvFvrKPMMnhWj6MQJ1hyTAK3mr8o92Pu9mM3WqtplznmqiaXwSRGMv7etj7gjkhDu8ysVyNWcXMPVGCTo5qiLi1HgX3QLftvkjgE4pVgaVu4YslKH0I78_MD2BBzSdHPKOecD45XqqHHZvzZT&amp;__tn__=%2CO%2CP-R", "https://www.facebook.com/iPhonemod/posts/pfbid036fstzweuWa59hAyrwedigobAoVFBfDDLfk3xGnKwV8GkPfZU5JjFS8GJZJMYbYKol?__cft__[0]=AZWLo1q-dvbivK4Y4u15jCIicHDNQAJnE3521733XzgjM1RXydNy-WhbdLfeR_gHKuOw1w6pvFvrKPMMnhWj6MQJ1hyTAK3mr8o92Pu9mM3WqtplznmqiaXwSRGMv7etj7gjkhDu8ysVyNWcXMPVGCTo5qiLi1HgX3QLftvkjgE4pVgaVu4YslKH0I78_MD2BBzSdHPKOecD45XqqHHZvzZT&amp;__tn__=%2CO%2CP-R")</f>
        <v>https://www.facebook.com/iPhonemod/posts/pfbid036fstzweuWa59hAyrwedigobAoVFBfDDLfk3xGnKwV8GkPfZU5JjFS8GJZJMYbYKol?__cft__[0]=AZWLo1q-dvbivK4Y4u15jCIicHDNQAJnE3521733XzgjM1RXydNy-WhbdLfeR_gHKuOw1w6pvFvrKPMMnhWj6MQJ1hyTAK3mr8o92Pu9mM3WqtplznmqiaXwSRGMv7etj7gjkhDu8ysVyNWcXMPVGCTo5qiLi1HgX3QLftvkjgE4pVgaVu4YslKH0I78_MD2BBzSdHPKOecD45XqqHHZvzZT&amp;__tn__=%2CO%2CP-R</v>
      </c>
      <c r="G1416"/>
      <c r="H1416" t="inlineStr">
        <is>
          <t>Pic Posts / Album</t>
        </is>
      </c>
      <c r="I1416" t="inlineStr">
        <is>
          <t>งานประจำวัน</t>
        </is>
      </c>
      <c r="J1416" t="inlineStr">
        <is>
          <t>Done</t>
        </is>
      </c>
      <c r="K1416"/>
      <c r="L1416" s="3"/>
      <c r="M1416" t="inlineStr">
        <is>
          <t>1</t>
        </is>
      </c>
      <c r="N1416" t="inlineStr">
        <is>
          <t>Android</t>
        </is>
      </c>
      <c r="O1416"/>
    </row>
    <row r="1417" ht="12.75" customHeight="1">
      <c r="A1417" t="inlineStr">
        <is>
          <t xml:space="preserve">YouTube Partner Program (YPP) ออกกฎใหม่! </t>
        </is>
      </c>
      <c r="B1417" t="inlineStr">
        <is>
          <t>Thitirath Kinaret</t>
        </is>
      </c>
      <c r="C1417" s="2">
        <v>45848</v>
      </c>
      <c r="D1417" s="2">
        <v>45848</v>
      </c>
      <c r="E1417" t="inlineStr">
        <is>
          <t>ปกติ</t>
        </is>
      </c>
      <c r="F1417" s="3" t="str">
        <f>=HYPERLINK("https://www.facebook.com/iPhonemod/posts/pfbid0merehz6EZtX1VFi4wwf3qxe8FAm3rHFfGctGH6zNGd9hUcaU65SiJBqP7gS5unkLl?__cft__[0]=AZUkyktKiLZFpABTI0s2nwwnS9Fx881SLQYQLHx1Tpm0LQxQEFcl3_y_TfO5M-PuuPl7rJpjr85Q16djs2LxQmNvd7V6qZWhYA5t5jFD9clAXUDbGjKn3iqRSWNCVH0PF8DcjKzJw-SJSmsx4ybpYCAva6ScXY2qpdjmC4-cMDiKxniuwrkbNrLWtl0JsSNQYmNJGTq1yRGLWgBF-sO0hbWM&amp;__tn__=%2CO%2CP-R", "https://www.facebook.com/iPhonemod/posts/pfbid0merehz6EZtX1VFi4wwf3qxe8FAm3rHFfGctGH6zNGd9hUcaU65SiJBqP7gS5unkLl?__cft__[0]=AZUkyktKiLZFpABTI0s2nwwnS9Fx881SLQYQLHx1Tpm0LQxQEFcl3_y_TfO5M-PuuPl7rJpjr85Q16djs2LxQmNvd7V6qZWhYA5t5jFD9clAXUDbGjKn3iqRSWNCVH0PF8DcjKzJw-SJSmsx4ybpYCAva6ScXY2qpdjmC4-cMDiKxniuwrkbNrLWtl0JsSNQYmNJGTq1yRGLWgBF-sO0hbWM&amp;__tn__=%2CO%2CP-R")</f>
        <v>https://www.facebook.com/iPhonemod/posts/pfbid0merehz6EZtX1VFi4wwf3qxe8FAm3rHFfGctGH6zNGd9hUcaU65SiJBqP7gS5unkLl?__cft__[0]=AZUkyktKiLZFpABTI0s2nwwnS9Fx881SLQYQLHx1Tpm0LQxQEFcl3_y_TfO5M-PuuPl7rJpjr85Q16djs2LxQmNvd7V6qZWhYA5t5jFD9clAXUDbGjKn3iqRSWNCVH0PF8DcjKzJw-SJSmsx4ybpYCAva6ScXY2qpdjmC4-cMDiKxniuwrkbNrLWtl0JsSNQYmNJGTq1yRGLWgBF-sO0hbWM&amp;__tn__=%2CO%2CP-R</v>
      </c>
      <c r="G1417"/>
      <c r="H1417" t="inlineStr">
        <is>
          <t>Pic Posts / Album</t>
        </is>
      </c>
      <c r="I1417" t="inlineStr">
        <is>
          <t>งานประจำวัน</t>
        </is>
      </c>
      <c r="J1417" t="inlineStr">
        <is>
          <t>Done</t>
        </is>
      </c>
      <c r="K1417"/>
      <c r="L1417" s="3"/>
      <c r="M1417" t="inlineStr">
        <is>
          <t>1</t>
        </is>
      </c>
      <c r="N1417" t="inlineStr">
        <is>
          <t>Tech</t>
        </is>
      </c>
      <c r="O1417"/>
    </row>
    <row r="1418" ht="12.75" customHeight="1">
      <c r="A1418" t="inlineStr">
        <is>
          <t>Majin Bu รายงานว่า iPhone 17 Air จะมาพร้อม 4 สีใหม่</t>
        </is>
      </c>
      <c r="B1418" t="inlineStr">
        <is>
          <t>Thitirath Kinaret</t>
        </is>
      </c>
      <c r="C1418" s="2">
        <v>45848</v>
      </c>
      <c r="D1418" s="2">
        <v>45848</v>
      </c>
      <c r="E1418" t="inlineStr">
        <is>
          <t>ปกติ</t>
        </is>
      </c>
      <c r="F1418" s="3" t="str">
        <f>=HYPERLINK("https://www.facebook.com/iPhonemod/posts/pfbid035E1Da4NtgR1zperDxaSNaNsm3L9yBCvnaqHjjZfvLPDQVubxCy5DZs1JWhj3TCuRl?__cft__[0]=AZXCg7NoTApJ91aPza0Q1tqK_IAGWLonz9oiMNqgKr5ctpoxL4eDPLhKah_PkynLgK_XOCxqrGu6qcNvboFEjwnNceElY6V7S4FzdqTF7nZzgBN9JJbRw6wSp8JLkb23pli_DtzU4I2HLGTAMonydAQsIr7sDU1xJ2rKErk72BVYAD1AFEPjCXQBR8mDGr1IN9wEygMDpnU1Dlakj6cmPcOq&amp;__tn__=%2CO%2CP-R", "https://www.facebook.com/iPhonemod/posts/pfbid035E1Da4NtgR1zperDxaSNaNsm3L9yBCvnaqHjjZfvLPDQVubxCy5DZs1JWhj3TCuRl?__cft__[0]=AZXCg7NoTApJ91aPza0Q1tqK_IAGWLonz9oiMNqgKr5ctpoxL4eDPLhKah_PkynLgK_XOCxqrGu6qcNvboFEjwnNceElY6V7S4FzdqTF7nZzgBN9JJbRw6wSp8JLkb23pli_DtzU4I2HLGTAMonydAQsIr7sDU1xJ2rKErk72BVYAD1AFEPjCXQBR8mDGr1IN9wEygMDpnU1Dlakj6cmPcOq&amp;__tn__=%2CO%2CP-R")</f>
        <v>https://www.facebook.com/iPhonemod/posts/pfbid035E1Da4NtgR1zperDxaSNaNsm3L9yBCvnaqHjjZfvLPDQVubxCy5DZs1JWhj3TCuRl?__cft__[0]=AZXCg7NoTApJ91aPza0Q1tqK_IAGWLonz9oiMNqgKr5ctpoxL4eDPLhKah_PkynLgK_XOCxqrGu6qcNvboFEjwnNceElY6V7S4FzdqTF7nZzgBN9JJbRw6wSp8JLkb23pli_DtzU4I2HLGTAMonydAQsIr7sDU1xJ2rKErk72BVYAD1AFEPjCXQBR8mDGr1IN9wEygMDpnU1Dlakj6cmPcOq&amp;__tn__=%2CO%2CP-R</v>
      </c>
      <c r="G1418"/>
      <c r="H1418" t="inlineStr">
        <is>
          <t>Pic Posts / Album, Website</t>
        </is>
      </c>
      <c r="I1418" t="inlineStr">
        <is>
          <t>งานประจำวัน</t>
        </is>
      </c>
      <c r="J1418" t="inlineStr">
        <is>
          <t>Done</t>
        </is>
      </c>
      <c r="K1418"/>
      <c r="L1418" s="3"/>
      <c r="M1418" t="inlineStr">
        <is>
          <t>1</t>
        </is>
      </c>
      <c r="N1418" t="inlineStr">
        <is>
          <t>Apple</t>
        </is>
      </c>
      <c r="O1418"/>
    </row>
    <row r="1419" ht="12.75" customHeight="1">
      <c r="A1419" t="inlineStr">
        <is>
          <t>ตกแต่งสตอรี่ Gen Z - 1</t>
        </is>
      </c>
      <c r="B1419" t="inlineStr">
        <is>
          <t>Nattida Suriyodara,Sasithakan Sritonthip</t>
        </is>
      </c>
      <c r="C1419" s="2">
        <v>45847</v>
      </c>
      <c r="D1419" s="2"/>
      <c r="E1419" t="inlineStr">
        <is>
          <t>ปกติ</t>
        </is>
      </c>
      <c r="F1419" s="3"/>
      <c r="G1419"/>
      <c r="H1419" t="inlineStr">
        <is>
          <t>Shorts</t>
        </is>
      </c>
      <c r="I1419" t="inlineStr">
        <is>
          <t>งานประจำวัน</t>
        </is>
      </c>
      <c r="J1419" t="inlineStr">
        <is>
          <t>Done</t>
        </is>
      </c>
      <c r="K1419" t="inlineStr">
        <is>
          <t>- ทำให้ดูผ่านมือถือ 
- มีเสียงพากย์
- ใส่เสียงเพลงแทน</t>
        </is>
      </c>
      <c r="L1419" s="3"/>
      <c r="M1419" t="inlineStr">
        <is>
          <t>1</t>
        </is>
      </c>
      <c r="N1419" t="inlineStr">
        <is>
          <t>ทั่วไป</t>
        </is>
      </c>
      <c r="O1419"/>
    </row>
    <row r="1420" ht="12.75" customHeight="1">
      <c r="A1420" t="inlineStr">
        <is>
          <t>Apple เพิ่ม 4 เกมใหม่ บน Apple Arcade 7 ส.ค. นี้!</t>
        </is>
      </c>
      <c r="B1420" t="inlineStr">
        <is>
          <t>Sasithakan Sritonthip</t>
        </is>
      </c>
      <c r="C1420" s="2">
        <v>45847</v>
      </c>
      <c r="D1420" s="2"/>
      <c r="E1420" t="inlineStr">
        <is>
          <t>ปกติ</t>
        </is>
      </c>
      <c r="F1420" s="3" t="str">
        <f>=HYPERLINK("https://www.apple.com/th/newsroom/2025/07/apple-arcade-launches-four-new-games-in-august/", "https://www.apple.com/th/newsroom/2025/07/apple-arcade-launches-four-new-games-in-august/")</f>
        <v>https://www.apple.com/th/newsroom/2025/07/apple-arcade-launches-four-new-games-in-august/</v>
      </c>
      <c r="G1420"/>
      <c r="H1420" t="inlineStr">
        <is>
          <t>Website</t>
        </is>
      </c>
      <c r="I1420" t="inlineStr">
        <is>
          <t>งานลูกค้า</t>
        </is>
      </c>
      <c r="J1420" t="inlineStr">
        <is>
          <t>Done</t>
        </is>
      </c>
      <c r="K1420"/>
      <c r="L1420" s="3"/>
      <c r="M1420" t="inlineStr">
        <is>
          <t>1</t>
        </is>
      </c>
      <c r="N1420" t="inlineStr">
        <is>
          <t>Apple</t>
        </is>
      </c>
      <c r="O1420"/>
    </row>
    <row r="1421" ht="12.75" customHeight="1">
      <c r="A1421" t="inlineStr">
        <is>
          <t>Studio 7 สุดคุ้ม สินค้า Apple และอุปกรณ์เสริม ลดราคารับคุ้ม 2 ต่อ!
</t>
        </is>
      </c>
      <c r="B1421" t="inlineStr">
        <is>
          <t>Thitirath Kinaret</t>
        </is>
      </c>
      <c r="C1421" s="2">
        <v>45847</v>
      </c>
      <c r="D1421" s="2"/>
      <c r="E1421" t="inlineStr">
        <is>
          <t>ปกติ</t>
        </is>
      </c>
      <c r="F1421" s="3"/>
      <c r="G1421"/>
      <c r="H1421" t="inlineStr">
        <is>
          <t>Pic Posts / Album, Event</t>
        </is>
      </c>
      <c r="I1421" t="inlineStr">
        <is>
          <t>งานลูกค้า</t>
        </is>
      </c>
      <c r="J1421" t="inlineStr">
        <is>
          <t>Done</t>
        </is>
      </c>
      <c r="K1421"/>
      <c r="L1421" s="3"/>
      <c r="M1421" t="inlineStr">
        <is>
          <t>1</t>
        </is>
      </c>
      <c r="N1421" t="inlineStr">
        <is>
          <t>Apple</t>
        </is>
      </c>
      <c r="O1421"/>
    </row>
    <row r="1422" ht="12.75" customHeight="1">
      <c r="A1422" t="inlineStr">
        <is>
          <t xml:space="preserve">LINE PREMIUM เปิดให้บริการแล้ว! </t>
        </is>
      </c>
      <c r="B1422" t="inlineStr">
        <is>
          <t>Nattida Suriyodara</t>
        </is>
      </c>
      <c r="C1422" s="2">
        <v>45847</v>
      </c>
      <c r="D1422" s="2"/>
      <c r="E1422" t="inlineStr">
        <is>
          <t>ปกติ</t>
        </is>
      </c>
      <c r="F1422" s="3" t="str">
        <f>=HYPERLINK("https://www.iphonemod.net/5-special-features-of-line-premium.html", "https://www.iphonemod.net/5-special-features-of-line-premium.html")</f>
        <v>https://www.iphonemod.net/5-special-features-of-line-premium.html</v>
      </c>
      <c r="G1422"/>
      <c r="H1422" t="inlineStr">
        <is>
          <t>Website</t>
        </is>
      </c>
      <c r="I1422" t="inlineStr">
        <is>
          <t>งานลูกค้า</t>
        </is>
      </c>
      <c r="J1422" t="inlineStr">
        <is>
          <t>Done</t>
        </is>
      </c>
      <c r="K1422"/>
      <c r="L1422" s="3"/>
      <c r="M1422" t="inlineStr">
        <is>
          <t>1</t>
        </is>
      </c>
      <c r="N1422" t="inlineStr">
        <is>
          <t>PR</t>
        </is>
      </c>
      <c r="O1422"/>
    </row>
    <row r="1423" ht="12.75" customHeight="1">
      <c r="A1423" t="inlineStr">
        <is>
          <t>Vivo X200 FE Full review</t>
        </is>
      </c>
      <c r="B1423" t="inlineStr">
        <is>
          <t>Saktaphat Kordjan</t>
        </is>
      </c>
      <c r="C1423" s="2">
        <v>45847</v>
      </c>
      <c r="D1423" s="2"/>
      <c r="E1423" t="inlineStr">
        <is>
          <t>ปกติ</t>
        </is>
      </c>
      <c r="F1423" s="3"/>
      <c r="G1423"/>
      <c r="H1423" t="inlineStr">
        <is>
          <t>YouTube</t>
        </is>
      </c>
      <c r="I1423" t="inlineStr">
        <is>
          <t>เสนอไอเดีย</t>
        </is>
      </c>
      <c r="J1423" t="inlineStr">
        <is>
          <t>Done</t>
        </is>
      </c>
      <c r="K1423"/>
      <c r="L1423" s="3"/>
      <c r="M1423" t="inlineStr">
        <is>
          <t>1</t>
        </is>
      </c>
      <c r="N1423" t="inlineStr">
        <is>
          <t>Android</t>
        </is>
      </c>
      <c r="O1423"/>
    </row>
    <row r="1424" ht="12.75" customHeight="1">
      <c r="A1424" t="inlineStr">
        <is>
          <t xml:space="preserve">เปิดตัว! Galaxy Watch8 Series และ Galaxy Watch Ultra </t>
        </is>
      </c>
      <c r="B1424" t="inlineStr">
        <is>
          <t>Thitirath Kinaret</t>
        </is>
      </c>
      <c r="C1424" s="2">
        <v>45847</v>
      </c>
      <c r="D1424" s="2">
        <v>45847</v>
      </c>
      <c r="E1424" t="inlineStr">
        <is>
          <t>ด่วน!</t>
        </is>
      </c>
      <c r="F1424" s="3" t="str">
        <f>=HYPERLINK("https://www.facebook.com/iPhonemod/posts/pfbid02u8CfeBctkNmAszgMBkW3ubK5KFKNJDmcWqzgtEk9wQURADiHycHEjjYKyKAzjFsXl?__cft__[0]=AZWZE2zo_NT6ZCtnLKPAiNOqeEvfobwaeDuWl7oL91e7hWqVy4k11DBmKv6Oqx6sOPpKzbQC2vgjlZgWUxozbo5kXLlDuUQ6Zm2JOL5DR6qLBhS2jbmkE8cbTyxSeE9jCCUeIH7OAF60Lb30vffvhQir7sC1QO5JTNeDVYDNOghILLdfANNanUNDEss6k6KEHxrSX9D0qJsJiykhoVagpF7t&amp;__tn__=%2CO%2CP-R", "https://www.facebook.com/iPhonemod/posts/pfbid02u8CfeBctkNmAszgMBkW3ubK5KFKNJDmcWqzgtEk9wQURADiHycHEjjYKyKAzjFsXl?__cft__[0]=AZWZE2zo_NT6ZCtnLKPAiNOqeEvfobwaeDuWl7oL91e7hWqVy4k11DBmKv6Oqx6sOPpKzbQC2vgjlZgWUxozbo5kXLlDuUQ6Zm2JOL5DR6qLBhS2jbmkE8cbTyxSeE9jCCUeIH7OAF60Lb30vffvhQir7sC1QO5JTNeDVYDNOghILLdfANNanUNDEss6k6KEHxrSX9D0qJsJiykhoVagpF7t&amp;__tn__=%2CO%2CP-R")</f>
        <v>https://www.facebook.com/iPhonemod/posts/pfbid02u8CfeBctkNmAszgMBkW3ubK5KFKNJDmcWqzgtEk9wQURADiHycHEjjYKyKAzjFsXl?__cft__[0]=AZWZE2zo_NT6ZCtnLKPAiNOqeEvfobwaeDuWl7oL91e7hWqVy4k11DBmKv6Oqx6sOPpKzbQC2vgjlZgWUxozbo5kXLlDuUQ6Zm2JOL5DR6qLBhS2jbmkE8cbTyxSeE9jCCUeIH7OAF60Lb30vffvhQir7sC1QO5JTNeDVYDNOghILLdfANNanUNDEss6k6KEHxrSX9D0qJsJiykhoVagpF7t&amp;__tn__=%2CO%2CP-R</v>
      </c>
      <c r="G1424"/>
      <c r="H1424" t="inlineStr">
        <is>
          <t>Pic Posts / Album</t>
        </is>
      </c>
      <c r="I1424" t="inlineStr">
        <is>
          <t>งานลูกค้า</t>
        </is>
      </c>
      <c r="J1424" t="inlineStr">
        <is>
          <t>Done</t>
        </is>
      </c>
      <c r="K1424"/>
      <c r="L1424" s="3"/>
      <c r="M1424" t="inlineStr">
        <is>
          <t>1</t>
        </is>
      </c>
      <c r="N1424" t="inlineStr">
        <is>
          <t>Android</t>
        </is>
      </c>
      <c r="O1424"/>
    </row>
    <row r="1425" ht="12.75" customHeight="1">
      <c r="A1425" t="inlineStr">
        <is>
          <t xml:space="preserve">เปิดตัว! Galaxy Z Flip7 และ Galaxy Z Flip7 FE </t>
        </is>
      </c>
      <c r="B1425" t="inlineStr">
        <is>
          <t>Thitirath Kinaret</t>
        </is>
      </c>
      <c r="C1425" s="2">
        <v>45847</v>
      </c>
      <c r="D1425" s="2">
        <v>45847</v>
      </c>
      <c r="E1425" t="inlineStr">
        <is>
          <t>ด่วน!</t>
        </is>
      </c>
      <c r="F1425" s="3" t="str">
        <f>=HYPERLINK("https://www.facebook.com/iPhonemod/posts/pfbid0kpawWQVrENm8BJYXZu8T6QDnrRUBu2u6Lsn7nrxettjUw75PeJz59UvzfxwtqCtFl?__cft__[0]=AZVsw-TwMtBuPmhj3E-UzqOZWMYgm6eOXKlmVM5ca3FIcJpoYSBfvvPj3wJa7iWTy7JbBBiErVpN7HEOiQhgX4csOokbqRYSUkTfe_b7zMhjdSnSW-UxwgJAHaitEGDqQnSFoWuEsaD43Puq709o-CQwJRDBZBK-NX3I0EJRIyPVTnNmGrBNKzqFXkCmclFLD3un2tbCZOokMqQYa4vQnP_j&amp;__tn__=%2CO%2CP-R", "https://www.facebook.com/iPhonemod/posts/pfbid0kpawWQVrENm8BJYXZu8T6QDnrRUBu2u6Lsn7nrxettjUw75PeJz59UvzfxwtqCtFl?__cft__[0]=AZVsw-TwMtBuPmhj3E-UzqOZWMYgm6eOXKlmVM5ca3FIcJpoYSBfvvPj3wJa7iWTy7JbBBiErVpN7HEOiQhgX4csOokbqRYSUkTfe_b7zMhjdSnSW-UxwgJAHaitEGDqQnSFoWuEsaD43Puq709o-CQwJRDBZBK-NX3I0EJRIyPVTnNmGrBNKzqFXkCmclFLD3un2tbCZOokMqQYa4vQnP_j&amp;__tn__=%2CO%2CP-R")</f>
        <v>https://www.facebook.com/iPhonemod/posts/pfbid0kpawWQVrENm8BJYXZu8T6QDnrRUBu2u6Lsn7nrxettjUw75PeJz59UvzfxwtqCtFl?__cft__[0]=AZVsw-TwMtBuPmhj3E-UzqOZWMYgm6eOXKlmVM5ca3FIcJpoYSBfvvPj3wJa7iWTy7JbBBiErVpN7HEOiQhgX4csOokbqRYSUkTfe_b7zMhjdSnSW-UxwgJAHaitEGDqQnSFoWuEsaD43Puq709o-CQwJRDBZBK-NX3I0EJRIyPVTnNmGrBNKzqFXkCmclFLD3un2tbCZOokMqQYa4vQnP_j&amp;__tn__=%2CO%2CP-R</v>
      </c>
      <c r="G1425"/>
      <c r="H1425" t="inlineStr">
        <is>
          <t>Pic Posts / Album</t>
        </is>
      </c>
      <c r="I1425" t="inlineStr">
        <is>
          <t>งานลูกค้า</t>
        </is>
      </c>
      <c r="J1425" t="inlineStr">
        <is>
          <t>Done</t>
        </is>
      </c>
      <c r="K1425"/>
      <c r="L1425" s="3"/>
      <c r="M1425" t="inlineStr">
        <is>
          <t>1</t>
        </is>
      </c>
      <c r="N1425" t="inlineStr">
        <is>
          <t>Android</t>
        </is>
      </c>
      <c r="O1425"/>
    </row>
    <row r="1426" ht="12.75" customHeight="1">
      <c r="A1426" t="inlineStr">
        <is>
          <t>เปิดตัว! Galaxy Z Fold7</t>
        </is>
      </c>
      <c r="B1426" t="inlineStr">
        <is>
          <t>Thitirath Kinaret</t>
        </is>
      </c>
      <c r="C1426" s="2">
        <v>45847</v>
      </c>
      <c r="D1426" s="2">
        <v>45847</v>
      </c>
      <c r="E1426" t="inlineStr">
        <is>
          <t>ด่วน!</t>
        </is>
      </c>
      <c r="F1426" s="3" t="str">
        <f>=HYPERLINK("https://www.facebook.com/iPhonemod/posts/pfbid0pwyUcesqDP7mPKMceFbGCGeDAyt4YyxsNB6mVtYqjNQFjsyp234sfndvU7BWSAYPl?__cft__[0]=AZUaKEMgyzHX_ZGh7qXW-JyyaSBaShKC9K-PFrm8mrGuLVdxT9CjTIKQ_5VSQMSVixnf691bWKtFozgqFymFVJpzTdMLBd94LkHVjaPaDX6xUi9QTg-cbjs5g-rhmugZJt7_wgzhp-lZqxxQLw6qa1GZrLpu2u50UrUr9OLprSEFS7OBhYpMhgA3v0ACYBxYEVWK6cDKJeIKTtmuT890ftl5&amp;__tn__=%2CO%2CP-R", "https://www.facebook.com/iPhonemod/posts/pfbid0pwyUcesqDP7mPKMceFbGCGeDAyt4YyxsNB6mVtYqjNQFjsyp234sfndvU7BWSAYPl?__cft__[0]=AZUaKEMgyzHX_ZGh7qXW-JyyaSBaShKC9K-PFrm8mrGuLVdxT9CjTIKQ_5VSQMSVixnf691bWKtFozgqFymFVJpzTdMLBd94LkHVjaPaDX6xUi9QTg-cbjs5g-rhmugZJt7_wgzhp-lZqxxQLw6qa1GZrLpu2u50UrUr9OLprSEFS7OBhYpMhgA3v0ACYBxYEVWK6cDKJeIKTtmuT890ftl5&amp;__tn__=%2CO%2CP-R")</f>
        <v>https://www.facebook.com/iPhonemod/posts/pfbid0pwyUcesqDP7mPKMceFbGCGeDAyt4YyxsNB6mVtYqjNQFjsyp234sfndvU7BWSAYPl?__cft__[0]=AZUaKEMgyzHX_ZGh7qXW-JyyaSBaShKC9K-PFrm8mrGuLVdxT9CjTIKQ_5VSQMSVixnf691bWKtFozgqFymFVJpzTdMLBd94LkHVjaPaDX6xUi9QTg-cbjs5g-rhmugZJt7_wgzhp-lZqxxQLw6qa1GZrLpu2u50UrUr9OLprSEFS7OBhYpMhgA3v0ACYBxYEVWK6cDKJeIKTtmuT890ftl5&amp;__tn__=%2CO%2CP-R</v>
      </c>
      <c r="G1426"/>
      <c r="H1426" t="inlineStr">
        <is>
          <t>Pic Posts / Album</t>
        </is>
      </c>
      <c r="I1426" t="inlineStr">
        <is>
          <t>งานลูกค้า</t>
        </is>
      </c>
      <c r="J1426" t="inlineStr">
        <is>
          <t>Done</t>
        </is>
      </c>
      <c r="K1426"/>
      <c r="L1426" s="3"/>
      <c r="M1426" t="inlineStr">
        <is>
          <t>1</t>
        </is>
      </c>
      <c r="N1426" t="inlineStr">
        <is>
          <t>Android</t>
        </is>
      </c>
      <c r="O1426"/>
    </row>
    <row r="1427" ht="12.75" customHeight="1">
      <c r="A1427" t="inlineStr">
        <is>
          <t>LINE พรีเมียม (Premium) เปิดให้บริการแล้ว! 169 บาท/เดือน
</t>
        </is>
      </c>
      <c r="B1427" t="inlineStr">
        <is>
          <t>Thitirath Kinaret</t>
        </is>
      </c>
      <c r="C1427" s="2">
        <v>45847</v>
      </c>
      <c r="D1427" s="2">
        <v>45847</v>
      </c>
      <c r="E1427" t="inlineStr">
        <is>
          <t>ปกติ</t>
        </is>
      </c>
      <c r="F1427" s="3" t="str">
        <f>=HYPERLINK("https://www.facebook.com/iPhonemod/posts/pfbid0ZNUn7DbSeytyEaP3YNu9zxHHsFzZ69BUfcXjFSEsepoFrHty7B284Rd6T2JG7WWgl?__cft__[0]=AZW2fraMiVRs3ivyj5bYUO9gK-_9ELwjygU4AnKBbGTjDMOEQUNS0iB36ORZmXqRi1YeEhEwUqBS5YTIozN6NPE1sTLSSKupck7h61H9b9vaKoJZBanS76yjNHuURSKKecY3UW8xhfl1aP1CVkwCDkv9NwkfLpTkJI6oVU-8MghjvdvS_G-hgWourKc9RlLLCORkKBhn4oYMjuvNZ-K8JGAW&amp;__tn__=%2CO%2CP-R", "https://www.facebook.com/iPhonemod/posts/pfbid0ZNUn7DbSeytyEaP3YNu9zxHHsFzZ69BUfcXjFSEsepoFrHty7B284Rd6T2JG7WWgl?__cft__[0]=AZW2fraMiVRs3ivyj5bYUO9gK-_9ELwjygU4AnKBbGTjDMOEQUNS0iB36ORZmXqRi1YeEhEwUqBS5YTIozN6NPE1sTLSSKupck7h61H9b9vaKoJZBanS76yjNHuURSKKecY3UW8xhfl1aP1CVkwCDkv9NwkfLpTkJI6oVU-8MghjvdvS_G-hgWourKc9RlLLCORkKBhn4oYMjuvNZ-K8JGAW&amp;__tn__=%2CO%2CP-R")</f>
        <v>https://www.facebook.com/iPhonemod/posts/pfbid0ZNUn7DbSeytyEaP3YNu9zxHHsFzZ69BUfcXjFSEsepoFrHty7B284Rd6T2JG7WWgl?__cft__[0]=AZW2fraMiVRs3ivyj5bYUO9gK-_9ELwjygU4AnKBbGTjDMOEQUNS0iB36ORZmXqRi1YeEhEwUqBS5YTIozN6NPE1sTLSSKupck7h61H9b9vaKoJZBanS76yjNHuURSKKecY3UW8xhfl1aP1CVkwCDkv9NwkfLpTkJI6oVU-8MghjvdvS_G-hgWourKc9RlLLCORkKBhn4oYMjuvNZ-K8JGAW&amp;__tn__=%2CO%2CP-R</v>
      </c>
      <c r="G1427"/>
      <c r="H1427" t="inlineStr">
        <is>
          <t>Pic Posts / Album</t>
        </is>
      </c>
      <c r="I1427" t="inlineStr">
        <is>
          <t>งานประจำวัน</t>
        </is>
      </c>
      <c r="J1427" t="inlineStr">
        <is>
          <t>Done</t>
        </is>
      </c>
      <c r="K1427"/>
      <c r="L1427" s="3"/>
      <c r="M1427" t="inlineStr">
        <is>
          <t>1</t>
        </is>
      </c>
      <c r="N1427" t="inlineStr">
        <is>
          <t>Tech</t>
        </is>
      </c>
      <c r="O1427"/>
    </row>
    <row r="1428" ht="12.75" customHeight="1">
      <c r="A1428" t="inlineStr">
        <is>
          <t>Apple ปล่อย iOS 26 Beta 3 ให้ทดสอบ
</t>
        </is>
      </c>
      <c r="B1428" t="inlineStr">
        <is>
          <t>Thitirath Kinaret</t>
        </is>
      </c>
      <c r="C1428" s="2">
        <v>45846</v>
      </c>
      <c r="D1428" s="2">
        <v>45846</v>
      </c>
      <c r="E1428" t="inlineStr">
        <is>
          <t>ปกติ</t>
        </is>
      </c>
      <c r="F1428" s="3"/>
      <c r="G1428"/>
      <c r="H1428" t="inlineStr">
        <is>
          <t>Website</t>
        </is>
      </c>
      <c r="I1428" t="inlineStr">
        <is>
          <t>งานประจำวัน</t>
        </is>
      </c>
      <c r="J1428" t="inlineStr">
        <is>
          <t>Done</t>
        </is>
      </c>
      <c r="K1428"/>
      <c r="L1428" s="3" t="str">
        <f>=HYPERLINK("https://www.iphonemod.net/apple-seed-ios-26-beta-3.html", "https://www.iphonemod.net/apple-seed-ios-26-beta-3.html")</f>
        <v>https://www.iphonemod.net/apple-seed-ios-26-beta-3.html</v>
      </c>
      <c r="M1428" t="inlineStr">
        <is>
          <t>1</t>
        </is>
      </c>
      <c r="N1428" t="inlineStr">
        <is>
          <t>Apple</t>
        </is>
      </c>
      <c r="O1428"/>
    </row>
    <row r="1429" ht="12.75" customHeight="1">
      <c r="A1429" t="inlineStr">
        <is>
          <t xml:space="preserve">Vivo AI 4 Seasons </t>
        </is>
      </c>
      <c r="B1429" t="inlineStr">
        <is>
          <t>Saktaphat Kordjan</t>
        </is>
      </c>
      <c r="C1429" s="2">
        <v>45846</v>
      </c>
      <c r="D1429" s="2"/>
      <c r="E1429" t="inlineStr">
        <is>
          <t>ปกติ</t>
        </is>
      </c>
      <c r="F1429" s="3"/>
      <c r="G1429"/>
      <c r="H1429" t="inlineStr">
        <is>
          <t>Pic Posts / Album, Website, Shorts</t>
        </is>
      </c>
      <c r="I1429" t="inlineStr">
        <is>
          <t>งานประจำวัน</t>
        </is>
      </c>
      <c r="J1429" t="inlineStr">
        <is>
          <t>Done</t>
        </is>
      </c>
      <c r="K1429"/>
      <c r="L1429" s="3"/>
      <c r="M1429" t="inlineStr">
        <is>
          <t>1</t>
        </is>
      </c>
      <c r="N1429" t="inlineStr">
        <is>
          <t>Android</t>
        </is>
      </c>
      <c r="O1429"/>
    </row>
    <row r="1430" ht="12.75" customHeight="1">
      <c r="A1430" t="inlineStr">
        <is>
          <t>IG: กดซ่อนสตอรี่</t>
        </is>
      </c>
      <c r="B1430" t="inlineStr">
        <is>
          <t>Nattida Suriyodara,Sasithakan Sritonthip</t>
        </is>
      </c>
      <c r="C1430" s="2">
        <v>45846</v>
      </c>
      <c r="D1430" s="2"/>
      <c r="E1430" t="inlineStr">
        <is>
          <t>ปกติ</t>
        </is>
      </c>
      <c r="F1430" s="3"/>
      <c r="G1430" t="inlineStr">
        <is>
          <t>ภาพถ่ายหน้าจอ 2568-07-08 เวลา 11.11.49.png</t>
        </is>
      </c>
      <c r="H1430" t="inlineStr">
        <is>
          <t>Shorts</t>
        </is>
      </c>
      <c r="I1430" t="inlineStr">
        <is>
          <t>งานประจำวัน</t>
        </is>
      </c>
      <c r="J1430" t="inlineStr">
        <is>
          <t>Done</t>
        </is>
      </c>
      <c r="K1430" t="inlineStr">
        <is>
          <t>- กดซ่อนสตอรี่ แล้วจะไม่เห็นไฮไลท์
- สาธิตการทำ</t>
        </is>
      </c>
      <c r="L1430" s="3"/>
      <c r="M1430" t="inlineStr">
        <is>
          <t>1</t>
        </is>
      </c>
      <c r="N1430" t="inlineStr">
        <is>
          <t>ทั่วไป</t>
        </is>
      </c>
      <c r="O1430"/>
    </row>
    <row r="1431" ht="12.75" customHeight="1">
      <c r="A1431" t="inlineStr">
        <is>
          <t>IG: เปิดการใช้งาน "ไม่อ่านข้อความ"</t>
        </is>
      </c>
      <c r="B1431" t="inlineStr">
        <is>
          <t>Nattida Suriyodara,Sasithakan Sritonthip</t>
        </is>
      </c>
      <c r="C1431" s="2">
        <v>45846</v>
      </c>
      <c r="D1431" s="2"/>
      <c r="E1431" t="inlineStr">
        <is>
          <t>ปกติ</t>
        </is>
      </c>
      <c r="F1431" s="3"/>
      <c r="G1431"/>
      <c r="H1431" t="inlineStr">
        <is>
          <t>Shorts</t>
        </is>
      </c>
      <c r="I1431" t="inlineStr">
        <is>
          <t>งานประจำวัน</t>
        </is>
      </c>
      <c r="J1431" t="inlineStr">
        <is>
          <t>Done</t>
        </is>
      </c>
      <c r="K1431" t="inlineStr">
        <is>
          <t>- อ่านข้อความแล้ว แต่อีกฝ่ายไม่เห็นว่าอ่าน
- สาธิตตั้งค่าให้ดู</t>
        </is>
      </c>
      <c r="L1431" s="3"/>
      <c r="M1431" t="inlineStr">
        <is>
          <t>1</t>
        </is>
      </c>
      <c r="N1431" t="inlineStr">
        <is>
          <t>ทั่วไป</t>
        </is>
      </c>
      <c r="O1431"/>
    </row>
    <row r="1432" ht="12.75" customHeight="1">
      <c r="A1432" t="inlineStr">
        <is>
          <t>Xiaomi 16 ได้รับการรับรองแล้ว เตรียมเปิดตัวเร็ว ๆ นี้</t>
        </is>
      </c>
      <c r="B1432" t="inlineStr">
        <is>
          <t>Saktaphat Kordjan</t>
        </is>
      </c>
      <c r="C1432" s="2">
        <v>45846</v>
      </c>
      <c r="D1432" s="2"/>
      <c r="E1432" t="inlineStr">
        <is>
          <t>ปกติ</t>
        </is>
      </c>
      <c r="F1432" s="3" t="str">
        <f>=HYPERLINK("https://www.gsmarena.com/xiaomi_16_grabs_a_certification_on_its_way_to_launch-news-68518.php", "https://www.gsmarena.com/xiaomi_16_grabs_a_certification_on_its_way_to_launch-news-68518.php")</f>
        <v>https://www.gsmarena.com/xiaomi_16_grabs_a_certification_on_its_way_to_launch-news-68518.php</v>
      </c>
      <c r="G1432"/>
      <c r="H1432" t="inlineStr">
        <is>
          <t>Website</t>
        </is>
      </c>
      <c r="I1432" t="inlineStr">
        <is>
          <t>งานประจำวัน</t>
        </is>
      </c>
      <c r="J1432" t="inlineStr">
        <is>
          <t>Done</t>
        </is>
      </c>
      <c r="K1432"/>
      <c r="L1432" s="3"/>
      <c r="M1432" t="inlineStr">
        <is>
          <t>1</t>
        </is>
      </c>
      <c r="N1432" t="inlineStr">
        <is>
          <t>Android</t>
        </is>
      </c>
      <c r="O1432"/>
    </row>
    <row r="1433" ht="12.75" customHeight="1">
      <c r="A1433" t="inlineStr">
        <is>
          <t>VIVO X200FE ลองเล่นเกม</t>
        </is>
      </c>
      <c r="B1433" t="inlineStr">
        <is>
          <t>Saktaphat Kordjan</t>
        </is>
      </c>
      <c r="C1433" s="2">
        <v>45846</v>
      </c>
      <c r="D1433" s="2"/>
      <c r="E1433" t="inlineStr">
        <is>
          <t>ปกติ</t>
        </is>
      </c>
      <c r="F1433" s="3"/>
      <c r="G1433"/>
      <c r="H1433" t="inlineStr">
        <is>
          <t>Shorts</t>
        </is>
      </c>
      <c r="I1433" t="inlineStr">
        <is>
          <t>งานประจำวัน</t>
        </is>
      </c>
      <c r="J1433" t="inlineStr">
        <is>
          <t>Done</t>
        </is>
      </c>
      <c r="K1433"/>
      <c r="L1433" s="3"/>
      <c r="M1433" t="inlineStr">
        <is>
          <t>1</t>
        </is>
      </c>
      <c r="N1433" t="inlineStr">
        <is>
          <t>Android</t>
        </is>
      </c>
      <c r="O1433"/>
    </row>
    <row r="1434" ht="12.75" customHeight="1">
      <c r="A1434" t="inlineStr">
        <is>
          <t>Tecno เปิดตัว Phantom Ultimate G Fold คล้ายกับ Samsung พับสามทบ</t>
        </is>
      </c>
      <c r="B1434" t="inlineStr">
        <is>
          <t>Saktaphat Kordjan</t>
        </is>
      </c>
      <c r="C1434" s="2">
        <v>45846</v>
      </c>
      <c r="D1434" s="2"/>
      <c r="E1434" t="inlineStr">
        <is>
          <t>ปกติ</t>
        </is>
      </c>
      <c r="F1434" s="3"/>
      <c r="G1434"/>
      <c r="H1434" t="inlineStr">
        <is>
          <t>Website</t>
        </is>
      </c>
      <c r="I1434" t="inlineStr">
        <is>
          <t>งานประจำวัน</t>
        </is>
      </c>
      <c r="J1434" t="inlineStr">
        <is>
          <t>Done</t>
        </is>
      </c>
      <c r="K1434"/>
      <c r="L1434" s="3"/>
      <c r="M1434" t="inlineStr">
        <is>
          <t>1</t>
        </is>
      </c>
      <c r="N1434" t="inlineStr">
        <is>
          <t>Android</t>
        </is>
      </c>
      <c r="O1434"/>
    </row>
    <row r="1435" ht="12.75" customHeight="1">
      <c r="A1435" t="inlineStr">
        <is>
          <t>อยากให้ลองใช้ AI ทำอะไร</t>
        </is>
      </c>
      <c r="B1435" t="inlineStr">
        <is>
          <t>Nattida Suriyodara</t>
        </is>
      </c>
      <c r="C1435" s="2">
        <v>45846</v>
      </c>
      <c r="D1435" s="2"/>
      <c r="E1435" t="inlineStr">
        <is>
          <t>ปกติ</t>
        </is>
      </c>
      <c r="F1435" s="3"/>
      <c r="G1435"/>
      <c r="H1435" t="inlineStr">
        <is>
          <t>YouTube</t>
        </is>
      </c>
      <c r="I1435" t="inlineStr">
        <is>
          <t>งานประจำวัน</t>
        </is>
      </c>
      <c r="J1435" t="inlineStr">
        <is>
          <t>Done</t>
        </is>
      </c>
      <c r="K1435" t="inlineStr">
        <is>
          <t>คอนเทนต์
อยากให้ลองใช้ AI ทำอะไร 
ทดลองจาก 3 เครื่องมือ (Ver. Free)
1. ChatGPT
2. Gemini
3. Grok
แล้วนำคำตอบที่ได้มาให้พี่ ๆ เลือก โดยที่ไม่บอกว่าคำตอบว่าจาก AI ตัวไหน
สิ่งที่ต้องทำก่อนถ่ายในสตู
- ถามคำถาม
- ลอง Generate คำตอบ
- แสดงผลลัพธ์ และให้พี่ ๆ เลือก
ถ่ายในสตู
- โชว์คำตอบ
- สรุป
</t>
        </is>
      </c>
      <c r="L1435" s="3"/>
      <c r="M1435" t="inlineStr">
        <is>
          <t>1</t>
        </is>
      </c>
      <c r="N1435" t="inlineStr">
        <is>
          <t>AI</t>
        </is>
      </c>
      <c r="O1435"/>
    </row>
    <row r="1436" ht="12.75" customHeight="1">
      <c r="A1436" t="inlineStr">
        <is>
          <t xml:space="preserve">แกะกล่อง Vivo X200 FE </t>
        </is>
      </c>
      <c r="B1436" t="inlineStr">
        <is>
          <t>Saktaphat Kordjan</t>
        </is>
      </c>
      <c r="C1436" s="2">
        <v>45845</v>
      </c>
      <c r="D1436" s="2"/>
      <c r="E1436" t="inlineStr">
        <is>
          <t>ปกติ</t>
        </is>
      </c>
      <c r="F1436" s="3"/>
      <c r="G1436"/>
      <c r="H1436" t="inlineStr">
        <is>
          <t>YouTube</t>
        </is>
      </c>
      <c r="I1436" t="inlineStr">
        <is>
          <t>งานประจำวัน</t>
        </is>
      </c>
      <c r="J1436" t="inlineStr">
        <is>
          <t>Done</t>
        </is>
      </c>
      <c r="K1436"/>
      <c r="L1436" s="3"/>
      <c r="M1436" t="inlineStr">
        <is>
          <t>1</t>
        </is>
      </c>
      <c r="N1436" t="inlineStr">
        <is>
          <t>Android</t>
        </is>
      </c>
      <c r="O1436"/>
    </row>
    <row r="1437" ht="12.75" customHeight="1">
      <c r="A1437" t="inlineStr">
        <is>
          <t xml:space="preserve"> AIS Apple Accessories 7July2025</t>
        </is>
      </c>
      <c r="B1437" t="inlineStr">
        <is>
          <t>Thitirath Kinaret,Nattida Suriyodara</t>
        </is>
      </c>
      <c r="C1437" s="2">
        <v>45845</v>
      </c>
      <c r="D1437" s="2"/>
      <c r="E1437" t="inlineStr">
        <is>
          <t>ปกติ</t>
        </is>
      </c>
      <c r="F1437" s="3"/>
      <c r="G1437" t="inlineStr">
        <is>
          <t>ภาพถ่ายหน้าจอ 2568-07-07 เวลา 09.19.08.png</t>
        </is>
      </c>
      <c r="H1437" t="inlineStr">
        <is>
          <t>Pic Posts / Album</t>
        </is>
      </c>
      <c r="I1437" t="inlineStr">
        <is>
          <t>งานลูกค้า</t>
        </is>
      </c>
      <c r="J1437" t="inlineStr">
        <is>
          <t>Done</t>
        </is>
      </c>
      <c r="K1437"/>
      <c r="L1437" s="3"/>
      <c r="M1437" t="inlineStr">
        <is>
          <t>1</t>
        </is>
      </c>
      <c r="N1437" t="inlineStr">
        <is>
          <t>Apple</t>
        </is>
      </c>
      <c r="O1437"/>
    </row>
    <row r="1438" ht="12.75" customHeight="1">
      <c r="A1438" t="inlineStr">
        <is>
          <t>Apple ได้เพิ่มเกม 4 เกมลงบน Apple Arcade (มี Angry Bird ภายในนี้ด้วย)</t>
        </is>
      </c>
      <c r="B1438" t="inlineStr">
        <is>
          <t>Sasithakan Sritonthip</t>
        </is>
      </c>
      <c r="C1438" s="2">
        <v>45845</v>
      </c>
      <c r="D1438" s="2"/>
      <c r="E1438" t="inlineStr">
        <is>
          <t>ปกติ</t>
        </is>
      </c>
      <c r="F1438" s="3" t="str">
        <f>=HYPERLINK("https://www.macrumors.com/2025/07/03/apple-arcade-angry-birds-bounce-now-out/", "https://www.macrumors.com/2025/07/03/apple-arcade-angry-birds-bounce-now-out/")</f>
        <v>https://www.macrumors.com/2025/07/03/apple-arcade-angry-birds-bounce-now-out/</v>
      </c>
      <c r="G1438"/>
      <c r="H1438" t="inlineStr">
        <is>
          <t>Website</t>
        </is>
      </c>
      <c r="I1438" t="inlineStr">
        <is>
          <t>งานประจำวัน</t>
        </is>
      </c>
      <c r="J1438" t="inlineStr">
        <is>
          <t>Done</t>
        </is>
      </c>
      <c r="K1438"/>
      <c r="L1438" s="3"/>
      <c r="M1438" t="inlineStr">
        <is>
          <t>1</t>
        </is>
      </c>
      <c r="N1438" t="inlineStr">
        <is>
          <t>Apple</t>
        </is>
      </c>
      <c r="O1438"/>
    </row>
    <row r="1439" ht="12.75" customHeight="1">
      <c r="A1439" t="inlineStr">
        <is>
          <t>iPhone 17 Pro Max อาจมาพร้อมแบต 5,000mAh</t>
        </is>
      </c>
      <c r="B1439" t="inlineStr">
        <is>
          <t>Thitirath Kinaret</t>
        </is>
      </c>
      <c r="C1439" s="2">
        <v>45845</v>
      </c>
      <c r="D1439" s="2">
        <v>45845</v>
      </c>
      <c r="E1439" t="inlineStr">
        <is>
          <t>ปกติ</t>
        </is>
      </c>
      <c r="F1439" s="3" t="str">
        <f>=HYPERLINK("https://www.iphonemod.net/iphone-17-pro-max-rumors-5000mah-battery-capacity.html", "https://www.iphonemod.net/iphone-17-pro-max-rumors-5000mah-battery-capacity.html")</f>
        <v>https://www.iphonemod.net/iphone-17-pro-max-rumors-5000mah-battery-capacity.html</v>
      </c>
      <c r="G1439"/>
      <c r="H1439" t="inlineStr">
        <is>
          <t>Website, Pic Posts / Album</t>
        </is>
      </c>
      <c r="I1439" t="inlineStr">
        <is>
          <t>งานประจำวัน</t>
        </is>
      </c>
      <c r="J1439" t="inlineStr">
        <is>
          <t>Done</t>
        </is>
      </c>
      <c r="K1439"/>
      <c r="L1439" s="3"/>
      <c r="M1439" t="inlineStr">
        <is>
          <t>1</t>
        </is>
      </c>
      <c r="N1439" t="inlineStr">
        <is>
          <t>Apple</t>
        </is>
      </c>
      <c r="O1439"/>
    </row>
    <row r="1440" ht="12.75" customHeight="1">
      <c r="A1440" t="inlineStr">
        <is>
          <t>Galaxy Z Flip7 และ Flip7 FE ผ่านการรับรองความจุแบตเตอรี่แล้ว</t>
        </is>
      </c>
      <c r="B1440" t="inlineStr">
        <is>
          <t>Saktaphat Kordjan</t>
        </is>
      </c>
      <c r="C1440" s="2">
        <v>45845</v>
      </c>
      <c r="D1440" s="2"/>
      <c r="E1440" t="inlineStr">
        <is>
          <t>ปกติ</t>
        </is>
      </c>
      <c r="F1440" s="3"/>
      <c r="G1440"/>
      <c r="H1440" t="inlineStr">
        <is>
          <t>Website</t>
        </is>
      </c>
      <c r="I1440" t="inlineStr">
        <is>
          <t>งานประจำวัน</t>
        </is>
      </c>
      <c r="J1440" t="inlineStr">
        <is>
          <t>Done</t>
        </is>
      </c>
      <c r="K1440"/>
      <c r="L1440" s="3"/>
      <c r="M1440" t="inlineStr">
        <is>
          <t>1</t>
        </is>
      </c>
      <c r="N1440" t="inlineStr">
        <is>
          <t>Android</t>
        </is>
      </c>
      <c r="O1440"/>
    </row>
    <row r="1441" ht="12.75" customHeight="1">
      <c r="A1441" t="inlineStr">
        <is>
          <t xml:space="preserve">แกะกล่อง Vivo X200 FE </t>
        </is>
      </c>
      <c r="B1441" t="inlineStr">
        <is>
          <t>Sasithakan Sritonthip,Saktaphat Kordjan</t>
        </is>
      </c>
      <c r="C1441" s="2">
        <v>45845</v>
      </c>
      <c r="D1441" s="2"/>
      <c r="E1441" t="inlineStr">
        <is>
          <t>ปกติ</t>
        </is>
      </c>
      <c r="F1441" s="3"/>
      <c r="G1441"/>
      <c r="H1441" t="inlineStr">
        <is>
          <t>Shorts</t>
        </is>
      </c>
      <c r="I1441" t="inlineStr">
        <is>
          <t>งานประจำวัน</t>
        </is>
      </c>
      <c r="J1441" t="inlineStr">
        <is>
          <t>Done</t>
        </is>
      </c>
      <c r="K1441"/>
      <c r="L1441" s="3"/>
      <c r="M1441" t="inlineStr">
        <is>
          <t>1</t>
        </is>
      </c>
      <c r="N1441" t="inlineStr">
        <is>
          <t>Android</t>
        </is>
      </c>
      <c r="O1441"/>
    </row>
    <row r="1442" ht="12.75" customHeight="1">
      <c r="A1442" t="inlineStr">
        <is>
          <t xml:space="preserve">ป้ายยาโค้ดลับฟอนต์ IG </t>
        </is>
      </c>
      <c r="B1442" t="inlineStr">
        <is>
          <t>Nattida Suriyodara,Sasithakan Sritonthip</t>
        </is>
      </c>
      <c r="C1442" s="2">
        <v>45845</v>
      </c>
      <c r="D1442" s="2"/>
      <c r="E1442" t="inlineStr">
        <is>
          <t>ปกติ</t>
        </is>
      </c>
      <c r="F1442" s="3"/>
      <c r="G1442"/>
      <c r="H1442" t="inlineStr">
        <is>
          <t>Shorts</t>
        </is>
      </c>
      <c r="I1442" t="inlineStr">
        <is>
          <t>งานประจำวัน</t>
        </is>
      </c>
      <c r="J1442" t="inlineStr">
        <is>
          <t>Done</t>
        </is>
      </c>
      <c r="K1442"/>
      <c r="L1442" s="3"/>
      <c r="M1442" t="inlineStr">
        <is>
          <t>1</t>
        </is>
      </c>
      <c r="N1442" t="inlineStr">
        <is>
          <t>ทั่วไป</t>
        </is>
      </c>
      <c r="O1442"/>
    </row>
    <row r="1443" ht="12.75" customHeight="1">
      <c r="A1443" t="inlineStr">
        <is>
          <t>ข่าวล่าสุดเกี่ยวกับกล้อง Telephoto ของ Galaxy S26 Ultra</t>
        </is>
      </c>
      <c r="B1443" t="inlineStr">
        <is>
          <t>Saktaphat Kordjan</t>
        </is>
      </c>
      <c r="C1443" s="2">
        <v>45845</v>
      </c>
      <c r="D1443" s="2"/>
      <c r="E1443" t="inlineStr">
        <is>
          <t>ปกติ</t>
        </is>
      </c>
      <c r="F1443" s="3"/>
      <c r="G1443"/>
      <c r="H1443" t="inlineStr">
        <is>
          <t>Website</t>
        </is>
      </c>
      <c r="I1443" t="inlineStr">
        <is>
          <t>งานประจำวัน</t>
        </is>
      </c>
      <c r="J1443" t="inlineStr">
        <is>
          <t>Done</t>
        </is>
      </c>
      <c r="K1443"/>
      <c r="L1443" s="3"/>
      <c r="M1443" t="inlineStr">
        <is>
          <t>1</t>
        </is>
      </c>
      <c r="N1443" t="inlineStr">
        <is>
          <t>Android</t>
        </is>
      </c>
      <c r="O1443"/>
    </row>
    <row r="1444" ht="12.75" customHeight="1">
      <c r="A1444" t="inlineStr">
        <is>
          <t>iQOO 13 เปิดตัวสีใหม่ในชื่อ Ace Green ในประเทศอินเดีย</t>
        </is>
      </c>
      <c r="B1444" t="inlineStr">
        <is>
          <t>Saktaphat Kordjan</t>
        </is>
      </c>
      <c r="C1444" s="2">
        <v>45845</v>
      </c>
      <c r="D1444" s="2"/>
      <c r="E1444" t="inlineStr">
        <is>
          <t>ปกติ</t>
        </is>
      </c>
      <c r="F1444" s="3"/>
      <c r="G1444"/>
      <c r="H1444" t="inlineStr">
        <is>
          <t>Website</t>
        </is>
      </c>
      <c r="I1444" t="inlineStr">
        <is>
          <t>งานประจำวัน</t>
        </is>
      </c>
      <c r="J1444" t="inlineStr">
        <is>
          <t>Done</t>
        </is>
      </c>
      <c r="K1444"/>
      <c r="L1444" s="3"/>
      <c r="M1444" t="inlineStr">
        <is>
          <t>1</t>
        </is>
      </c>
      <c r="N1444" t="inlineStr">
        <is>
          <t>Android</t>
        </is>
      </c>
      <c r="O1444"/>
    </row>
    <row r="1445" ht="12.75" customHeight="1">
      <c r="A1445" t="inlineStr">
        <is>
          <t>IG Story Pixel Pic Style</t>
        </is>
      </c>
      <c r="B1445" t="inlineStr">
        <is>
          <t>Nattida Suriyodara,Sasithakan Sritonthip</t>
        </is>
      </c>
      <c r="C1445" s="2">
        <v>45845</v>
      </c>
      <c r="D1445" s="2"/>
      <c r="E1445" t="inlineStr">
        <is>
          <t>ปกติ</t>
        </is>
      </c>
      <c r="F1445" s="3"/>
      <c r="G1445"/>
      <c r="H1445" t="inlineStr">
        <is>
          <t>Shorts</t>
        </is>
      </c>
      <c r="I1445" t="inlineStr">
        <is>
          <t>งานประจำวัน</t>
        </is>
      </c>
      <c r="J1445" t="inlineStr">
        <is>
          <t>Done</t>
        </is>
      </c>
      <c r="K1445"/>
      <c r="L1445" s="3"/>
      <c r="M1445" t="inlineStr">
        <is>
          <t>1</t>
        </is>
      </c>
      <c r="N1445" t="inlineStr">
        <is>
          <t>ทั่วไป</t>
        </is>
      </c>
      <c r="O1445"/>
    </row>
    <row r="1446" ht="12.75" customHeight="1">
      <c r="A1446" t="inlineStr">
        <is>
          <t>พาทัวร์ พร้อมลองใช้ Veo3</t>
        </is>
      </c>
      <c r="B1446" t="inlineStr">
        <is>
          <t>Nattida Suriyodara</t>
        </is>
      </c>
      <c r="C1446" s="2">
        <v>45845</v>
      </c>
      <c r="D1446" s="2"/>
      <c r="E1446" t="inlineStr">
        <is>
          <t>ปกติ</t>
        </is>
      </c>
      <c r="F1446" s="3" t="str">
        <f>=HYPERLINK("http://เสริม: ข้อควรระวังในการใช้งานเช่น ไม่สร้างผลงานหลอกใครไม่สร้างความเสียหายให้ผู้อื่น", "เสริม: ข้อควรระวังในการใช้งานเช่น ไม่สร้างผลงานหลอกใครไม่สร้างความเสียหายให้ผู้อื่น")</f>
        <v>เสริม: ข้อควรระวังในการใช้งานเช่น ไม่สร้างผลงานหลอกใครไม่สร้างความเสียหายให้ผู้อื่น</v>
      </c>
      <c r="G1446" t="inlineStr">
        <is>
          <t>ภาพถ่ายหน้าจอ 2568-07-20 เวลา 22.56.19.png</t>
        </is>
      </c>
      <c r="H1446" t="inlineStr">
        <is>
          <t>YouTube</t>
        </is>
      </c>
      <c r="I1446" t="inlineStr">
        <is>
          <t>งานประจำวัน, เสนอไอเดีย</t>
        </is>
      </c>
      <c r="J1446" t="inlineStr">
        <is>
          <t>Done</t>
        </is>
      </c>
      <c r="K1446"/>
      <c r="L1446" s="3"/>
      <c r="M1446" t="inlineStr">
        <is>
          <t>1</t>
        </is>
      </c>
      <c r="N1446" t="inlineStr">
        <is>
          <t>AI</t>
        </is>
      </c>
      <c r="O1446"/>
    </row>
    <row r="1447" ht="12.75" customHeight="1">
      <c r="A1447" t="inlineStr">
        <is>
          <t>แอป TikTok เวอร์ชันเฉพาะในสหรัฐฯ เตรียมเปิดใช้ ก.ย. 2025
</t>
        </is>
      </c>
      <c r="B1447" t="inlineStr">
        <is>
          <t>Thitirath Kinaret</t>
        </is>
      </c>
      <c r="C1447" s="2">
        <v>45845</v>
      </c>
      <c r="D1447" s="2">
        <v>45845</v>
      </c>
      <c r="E1447" t="inlineStr">
        <is>
          <t>ปกติ</t>
        </is>
      </c>
      <c r="F1447" s="3"/>
      <c r="G1447"/>
      <c r="H1447" t="inlineStr">
        <is>
          <t>Website, Pic Posts / Album</t>
        </is>
      </c>
      <c r="I1447" t="inlineStr">
        <is>
          <t>งานประจำวัน</t>
        </is>
      </c>
      <c r="J1447" t="inlineStr">
        <is>
          <t>Done</t>
        </is>
      </c>
      <c r="K1447"/>
      <c r="L1447" s="3" t="str">
        <f>=HYPERLINK("https://www.iphonemod.net/tiktok-new-version-for-usa-user-launch-september-2025.html", "https://www.iphonemod.net/tiktok-new-version-for-usa-user-launch-september-2025.html")</f>
        <v>https://www.iphonemod.net/tiktok-new-version-for-usa-user-launch-september-2025.html</v>
      </c>
      <c r="M1447" t="inlineStr">
        <is>
          <t>1</t>
        </is>
      </c>
      <c r="N1447" t="inlineStr">
        <is>
          <t>Tech</t>
        </is>
      </c>
      <c r="O1447"/>
    </row>
    <row r="1448" ht="12.75" customHeight="1">
      <c r="A1448" t="inlineStr">
        <is>
          <t>F1 ของ Apple ฟันรายได้ไป 293 ล้านดอลลาร์ หลังเข้าฉาย 10 วัน
</t>
        </is>
      </c>
      <c r="B1448" t="inlineStr">
        <is>
          <t>Thitirath Kinaret</t>
        </is>
      </c>
      <c r="C1448" s="2">
        <v>45845</v>
      </c>
      <c r="D1448" s="2">
        <v>45845</v>
      </c>
      <c r="E1448" t="inlineStr">
        <is>
          <t>ปกติ</t>
        </is>
      </c>
      <c r="F1448" s="3"/>
      <c r="G1448"/>
      <c r="H1448" t="inlineStr">
        <is>
          <t>Website, Pic Posts / Album</t>
        </is>
      </c>
      <c r="I1448" t="inlineStr">
        <is>
          <t>งานประจำวัน</t>
        </is>
      </c>
      <c r="J1448" t="inlineStr">
        <is>
          <t>Done</t>
        </is>
      </c>
      <c r="K1448"/>
      <c r="L1448" s="3" t="str">
        <f>=HYPERLINK("https://www.iphonemod.net/f1-apple-original-earning-293-million-dollar-after-10-days.html", "https://www.iphonemod.net/f1-apple-original-earning-293-million-dollar-after-10-days.html")</f>
        <v>https://www.iphonemod.net/f1-apple-original-earning-293-million-dollar-after-10-days.html</v>
      </c>
      <c r="M1448" t="inlineStr">
        <is>
          <t>1</t>
        </is>
      </c>
      <c r="N1448" t="inlineStr">
        <is>
          <t>Tech</t>
        </is>
      </c>
      <c r="O1448"/>
    </row>
    <row r="1449" ht="12.75" customHeight="1">
      <c r="A1449" t="inlineStr">
        <is>
          <t>iPhone 17 Pro Max อาจมาพร้อมแบต 5,000mAh
</t>
        </is>
      </c>
      <c r="B1449" t="inlineStr">
        <is>
          <t>Thitirath Kinaret</t>
        </is>
      </c>
      <c r="C1449" s="2">
        <v>45845</v>
      </c>
      <c r="D1449" s="2">
        <v>45845</v>
      </c>
      <c r="E1449" t="inlineStr">
        <is>
          <t>ปกติ</t>
        </is>
      </c>
      <c r="F1449" s="3"/>
      <c r="G1449"/>
      <c r="H1449" t="inlineStr">
        <is>
          <t>Website, Pic Posts / Album</t>
        </is>
      </c>
      <c r="I1449" t="inlineStr">
        <is>
          <t>งานประจำวัน</t>
        </is>
      </c>
      <c r="J1449" t="inlineStr">
        <is>
          <t>Done</t>
        </is>
      </c>
      <c r="K1449"/>
      <c r="L1449" s="3" t="str">
        <f>=HYPERLINK("https://www.iphonemod.net/iphone-17-pro-max-rumors-5000mah-battery-capacity.html", "https://www.iphonemod.net/iphone-17-pro-max-rumors-5000mah-battery-capacity.html")</f>
        <v>https://www.iphonemod.net/iphone-17-pro-max-rumors-5000mah-battery-capacity.html</v>
      </c>
      <c r="M1449" t="inlineStr">
        <is>
          <t>1</t>
        </is>
      </c>
      <c r="N1449" t="inlineStr">
        <is>
          <t>Apple</t>
        </is>
      </c>
      <c r="O1449"/>
    </row>
    <row r="1450" ht="12.75" customHeight="1">
      <c r="A1450" t="inlineStr">
        <is>
          <t>พบเบาะแส Samsung พับสามทบ ในโค้ดของ One UI 8</t>
        </is>
      </c>
      <c r="B1450" t="inlineStr">
        <is>
          <t>Saktaphat Kordjan</t>
        </is>
      </c>
      <c r="C1450" s="2">
        <v>45842</v>
      </c>
      <c r="D1450" s="2"/>
      <c r="E1450" t="inlineStr">
        <is>
          <t>ปกติ</t>
        </is>
      </c>
      <c r="F1450" s="3"/>
      <c r="G1450"/>
      <c r="H1450" t="inlineStr">
        <is>
          <t>Website</t>
        </is>
      </c>
      <c r="I1450" t="inlineStr">
        <is>
          <t>งานประจำวัน</t>
        </is>
      </c>
      <c r="J1450" t="inlineStr">
        <is>
          <t>Done</t>
        </is>
      </c>
      <c r="K1450"/>
      <c r="L1450" s="3"/>
      <c r="M1450" t="inlineStr">
        <is>
          <t>1</t>
        </is>
      </c>
      <c r="N1450" t="inlineStr">
        <is>
          <t>Android</t>
        </is>
      </c>
      <c r="O1450"/>
    </row>
    <row r="1451" ht="12.75" customHeight="1">
      <c r="A1451" t="inlineStr">
        <is>
          <t>6 การปรับปรุงเปลี่ยนแปลง AirPods ที่จะมาในอัปเดต iOS 26</t>
        </is>
      </c>
      <c r="B1451" t="inlineStr">
        <is>
          <t>Sasithakan Sritonthip</t>
        </is>
      </c>
      <c r="C1451" s="2">
        <v>45842</v>
      </c>
      <c r="D1451" s="2"/>
      <c r="E1451" t="inlineStr">
        <is>
          <t>ปกติ</t>
        </is>
      </c>
      <c r="F1451" s="3"/>
      <c r="G1451"/>
      <c r="H1451" t="inlineStr">
        <is>
          <t>Website</t>
        </is>
      </c>
      <c r="I1451" t="inlineStr">
        <is>
          <t>งานประจำวัน</t>
        </is>
      </c>
      <c r="J1451" t="inlineStr">
        <is>
          <t>Done</t>
        </is>
      </c>
      <c r="K1451"/>
      <c r="L1451" s="3"/>
      <c r="M1451" t="inlineStr">
        <is>
          <t>1</t>
        </is>
      </c>
      <c r="N1451" t="inlineStr">
        <is>
          <t>Apple</t>
        </is>
      </c>
      <c r="O1451"/>
    </row>
    <row r="1452" ht="12.75" customHeight="1">
      <c r="A1452" t="inlineStr">
        <is>
          <t>เปิดตัว Veo 3 ในประเทศไทย</t>
        </is>
      </c>
      <c r="B1452" t="inlineStr">
        <is>
          <t>Nattida Suriyodara</t>
        </is>
      </c>
      <c r="C1452" s="2">
        <v>45842</v>
      </c>
      <c r="D1452" s="2"/>
      <c r="E1452" t="inlineStr">
        <is>
          <t>ปกติ</t>
        </is>
      </c>
      <c r="F1452" s="3" t="str">
        <f>=HYPERLINK("https://www.facebook.com/share/v/16Tt1VWrDF/", "https://www.facebook.com/share/v/16Tt1VWrDF/")</f>
        <v>https://www.facebook.com/share/v/16Tt1VWrDF/</v>
      </c>
      <c r="G1452"/>
      <c r="H1452" t="inlineStr">
        <is>
          <t>Pic Posts / Album</t>
        </is>
      </c>
      <c r="I1452" t="inlineStr">
        <is>
          <t>งานประจำวัน</t>
        </is>
      </c>
      <c r="J1452" t="inlineStr">
        <is>
          <t>Done</t>
        </is>
      </c>
      <c r="K1452"/>
      <c r="L1452" s="3"/>
      <c r="M1452" t="inlineStr">
        <is>
          <t>1</t>
        </is>
      </c>
      <c r="N1452" t="inlineStr">
        <is>
          <t>AI</t>
        </is>
      </c>
      <c r="O1452"/>
    </row>
    <row r="1453" ht="12.75" customHeight="1">
      <c r="A1453" t="inlineStr">
        <is>
          <t>เปิดตัว Veo 3 ในประเทศไทย</t>
        </is>
      </c>
      <c r="B1453" t="inlineStr">
        <is>
          <t>Sasithakan Sritonthip</t>
        </is>
      </c>
      <c r="C1453" s="2">
        <v>45842</v>
      </c>
      <c r="D1453" s="2"/>
      <c r="E1453" t="inlineStr">
        <is>
          <t>ปกติ</t>
        </is>
      </c>
      <c r="F1453" s="3" t="str">
        <f>=HYPERLINK("https://www.facebook.com/share/v/16Tt1VWrDF/", "https://www.facebook.com/share/v/16Tt1VWrDF/")</f>
        <v>https://www.facebook.com/share/v/16Tt1VWrDF/</v>
      </c>
      <c r="G1453"/>
      <c r="H1453" t="inlineStr">
        <is>
          <t>Website</t>
        </is>
      </c>
      <c r="I1453" t="inlineStr">
        <is>
          <t>งานประจำวัน</t>
        </is>
      </c>
      <c r="J1453" t="inlineStr">
        <is>
          <t>Done</t>
        </is>
      </c>
      <c r="K1453"/>
      <c r="L1453" s="3"/>
      <c r="M1453" t="inlineStr">
        <is>
          <t>1</t>
        </is>
      </c>
      <c r="N1453" t="inlineStr">
        <is>
          <t>AI</t>
        </is>
      </c>
      <c r="O1453"/>
    </row>
    <row r="1454" ht="12.75" customHeight="1">
      <c r="A1454" t="inlineStr">
        <is>
          <t>หลุด! อุปกรณ์เสริม Samsung Galaxy Z Flip 7</t>
        </is>
      </c>
      <c r="B1454" t="inlineStr">
        <is>
          <t>Saktaphat Kordjan</t>
        </is>
      </c>
      <c r="C1454" s="2">
        <v>45842</v>
      </c>
      <c r="D1454" s="2"/>
      <c r="E1454" t="inlineStr">
        <is>
          <t>ปกติ</t>
        </is>
      </c>
      <c r="F1454" s="3"/>
      <c r="G1454"/>
      <c r="H1454" t="inlineStr">
        <is>
          <t>Website</t>
        </is>
      </c>
      <c r="I1454" t="inlineStr">
        <is>
          <t>งานประจำวัน</t>
        </is>
      </c>
      <c r="J1454" t="inlineStr">
        <is>
          <t>Done</t>
        </is>
      </c>
      <c r="K1454"/>
      <c r="L1454" s="3"/>
      <c r="M1454" t="inlineStr">
        <is>
          <t>1</t>
        </is>
      </c>
      <c r="N1454" t="inlineStr">
        <is>
          <t>Android</t>
        </is>
      </c>
      <c r="O1454"/>
    </row>
    <row r="1455" ht="12.75" customHeight="1">
      <c r="A1455" t="inlineStr">
        <is>
          <t>Veo 3 เปิดตัวในไทยเป็นที่เรียบร้อยแล้ว</t>
        </is>
      </c>
      <c r="B1455" t="inlineStr">
        <is>
          <t>Saktaphat Kordjan,Sasithakan Sritonthip</t>
        </is>
      </c>
      <c r="C1455" s="2">
        <v>45842</v>
      </c>
      <c r="D1455" s="2"/>
      <c r="E1455" t="inlineStr">
        <is>
          <t>ปกติ</t>
        </is>
      </c>
      <c r="F1455" s="3"/>
      <c r="G1455"/>
      <c r="H1455" t="inlineStr">
        <is>
          <t>Shorts</t>
        </is>
      </c>
      <c r="I1455" t="inlineStr">
        <is>
          <t>งานประจำวัน</t>
        </is>
      </c>
      <c r="J1455" t="inlineStr">
        <is>
          <t>Done</t>
        </is>
      </c>
      <c r="K1455"/>
      <c r="L1455" s="3"/>
      <c r="M1455" t="inlineStr">
        <is>
          <t>1</t>
        </is>
      </c>
      <c r="N1455" t="inlineStr">
        <is>
          <t>AI</t>
        </is>
      </c>
      <c r="O1455"/>
    </row>
    <row r="1456" ht="12.75" customHeight="1">
      <c r="A1456" t="inlineStr">
        <is>
          <t>หลุด! สีตัวเรือน Pixel Watch 4 และตัวเลือกสายใหม่</t>
        </is>
      </c>
      <c r="B1456" t="inlineStr">
        <is>
          <t>Saktaphat Kordjan</t>
        </is>
      </c>
      <c r="C1456" s="2">
        <v>45842</v>
      </c>
      <c r="D1456" s="2"/>
      <c r="E1456" t="inlineStr">
        <is>
          <t>ปกติ</t>
        </is>
      </c>
      <c r="F1456" s="3"/>
      <c r="G1456"/>
      <c r="H1456" t="inlineStr">
        <is>
          <t>Website</t>
        </is>
      </c>
      <c r="I1456" t="inlineStr">
        <is>
          <t>งานประจำวัน</t>
        </is>
      </c>
      <c r="J1456" t="inlineStr">
        <is>
          <t>Done</t>
        </is>
      </c>
      <c r="K1456"/>
      <c r="L1456" s="3"/>
      <c r="M1456" t="inlineStr">
        <is>
          <t>1</t>
        </is>
      </c>
      <c r="N1456" t="inlineStr">
        <is>
          <t>Android</t>
        </is>
      </c>
      <c r="O1456"/>
    </row>
    <row r="1457" ht="12.75" customHeight="1">
      <c r="A1457" t="inlineStr">
        <is>
          <t>หลุดภาพตัวเครื่อง Samsung Galaxy Z Fold7</t>
        </is>
      </c>
      <c r="B1457" t="inlineStr">
        <is>
          <t>Saktaphat Kordjan</t>
        </is>
      </c>
      <c r="C1457" s="2">
        <v>45842</v>
      </c>
      <c r="D1457" s="2"/>
      <c r="E1457" t="inlineStr">
        <is>
          <t>ปกติ</t>
        </is>
      </c>
      <c r="F1457" s="3"/>
      <c r="G1457"/>
      <c r="H1457" t="inlineStr">
        <is>
          <t>Website</t>
        </is>
      </c>
      <c r="I1457" t="inlineStr">
        <is>
          <t>งานประจำวัน</t>
        </is>
      </c>
      <c r="J1457" t="inlineStr">
        <is>
          <t>Done</t>
        </is>
      </c>
      <c r="K1457"/>
      <c r="L1457" s="3"/>
      <c r="M1457" t="inlineStr">
        <is>
          <t>1</t>
        </is>
      </c>
      <c r="N1457" t="inlineStr">
        <is>
          <t>Android</t>
        </is>
      </c>
      <c r="O1457"/>
    </row>
    <row r="1458" ht="12.75" customHeight="1">
      <c r="A1458" t="inlineStr">
        <is>
          <t>ฟีเจอร์ใหม่ iOS 26 FaceTime หยุดทำงานเมื่อผู้ใช้ไม่สวมเสื้อผ้า</t>
        </is>
      </c>
      <c r="B1458" t="inlineStr">
        <is>
          <t>Nattida Suriyodara</t>
        </is>
      </c>
      <c r="C1458" s="2">
        <v>45842</v>
      </c>
      <c r="D1458" s="2"/>
      <c r="E1458" t="inlineStr">
        <is>
          <t>ปกติ</t>
        </is>
      </c>
      <c r="F1458" s="3"/>
      <c r="G1458"/>
      <c r="H1458" t="inlineStr">
        <is>
          <t>YouTube</t>
        </is>
      </c>
      <c r="I1458" t="inlineStr">
        <is>
          <t>งานประจำวัน</t>
        </is>
      </c>
      <c r="J1458" t="inlineStr">
        <is>
          <t>Done</t>
        </is>
      </c>
      <c r="K1458"/>
      <c r="L1458" s="3"/>
      <c r="M1458" t="inlineStr">
        <is>
          <t>1</t>
        </is>
      </c>
      <c r="N1458" t="inlineStr">
        <is>
          <t>Apple</t>
        </is>
      </c>
      <c r="O1458"/>
    </row>
    <row r="1459" ht="12.75" customHeight="1">
      <c r="A1459" t="inlineStr">
        <is>
          <t>BaNANA COMSALE @COMMART ไบเทค บางนา</t>
        </is>
      </c>
      <c r="B1459" t="inlineStr">
        <is>
          <t>Thitirath Kinaret</t>
        </is>
      </c>
      <c r="C1459" s="2">
        <v>45841</v>
      </c>
      <c r="D1459" s="2">
        <v>45841</v>
      </c>
      <c r="E1459" t="inlineStr">
        <is>
          <t>ปกติ</t>
        </is>
      </c>
      <c r="F1459" s="3"/>
      <c r="G1459"/>
      <c r="H1459" t="inlineStr">
        <is>
          <t>Pic Posts / Album, Event</t>
        </is>
      </c>
      <c r="I1459" t="inlineStr">
        <is>
          <t>งานลูกค้า</t>
        </is>
      </c>
      <c r="J1459" t="inlineStr">
        <is>
          <t>Done</t>
        </is>
      </c>
      <c r="K1459"/>
      <c r="L1459" s="3" t="str">
        <f>=HYPERLINK("https://www.facebook.com/iPhonemod/posts/pfbid0hEeRjQj44NMm4akFL56ZbwP3z5EaHu5MEckTB15dYDXW5aggLUgz9tT6AevvQHDwl", "https://www.facebook.com/iPhonemod/posts/pfbid0hEeRjQj44NMm4akFL56ZbwP3z5EaHu5MEckTB15dYDXW5aggLUgz9tT6AevvQHDwl")</f>
        <v>https://www.facebook.com/iPhonemod/posts/pfbid0hEeRjQj44NMm4akFL56ZbwP3z5EaHu5MEckTB15dYDXW5aggLUgz9tT6AevvQHDwl</v>
      </c>
      <c r="M1459" t="inlineStr">
        <is>
          <t>1</t>
        </is>
      </c>
      <c r="N1459" t="inlineStr">
        <is>
          <t>Apple, ทั่วไป</t>
        </is>
      </c>
      <c r="O1459"/>
    </row>
    <row r="1460" ht="12.75" customHeight="1">
      <c r="A1460" t="inlineStr">
        <is>
          <t>แอป Threads มีแชทแล้ว</t>
        </is>
      </c>
      <c r="B1460" t="inlineStr">
        <is>
          <t>Sasithakan Sritonthip</t>
        </is>
      </c>
      <c r="C1460" s="2">
        <v>45841</v>
      </c>
      <c r="D1460" s="2"/>
      <c r="E1460" t="inlineStr">
        <is>
          <t>ปกติ</t>
        </is>
      </c>
      <c r="F1460" s="3"/>
      <c r="G1460"/>
      <c r="H1460" t="inlineStr">
        <is>
          <t>Website</t>
        </is>
      </c>
      <c r="I1460" t="inlineStr">
        <is>
          <t>งานประจำวัน</t>
        </is>
      </c>
      <c r="J1460" t="inlineStr">
        <is>
          <t>Done</t>
        </is>
      </c>
      <c r="K1460"/>
      <c r="L1460" s="3"/>
      <c r="M1460" t="inlineStr">
        <is>
          <t>1</t>
        </is>
      </c>
      <c r="N1460" t="inlineStr">
        <is>
          <t>ทั่วไป</t>
        </is>
      </c>
      <c r="O1460"/>
    </row>
    <row r="1461" ht="12.75" customHeight="1">
      <c r="A1461" t="inlineStr">
        <is>
          <t>เกาะกระแส AI สร้างแฟน
</t>
        </is>
      </c>
      <c r="B1461" t="inlineStr">
        <is>
          <t>Nattida Suriyodara</t>
        </is>
      </c>
      <c r="C1461" s="2">
        <v>45841</v>
      </c>
      <c r="D1461" s="2"/>
      <c r="E1461" t="inlineStr">
        <is>
          <t>ปกติ</t>
        </is>
      </c>
      <c r="F1461" s="3"/>
      <c r="G1461"/>
      <c r="H1461" t="inlineStr">
        <is>
          <t>Shorts</t>
        </is>
      </c>
      <c r="I1461" t="inlineStr">
        <is>
          <t>งานประจำวัน</t>
        </is>
      </c>
      <c r="J1461" t="inlineStr">
        <is>
          <t>Done</t>
        </is>
      </c>
      <c r="K1461" t="inlineStr">
        <is>
          <t>- AI อะไรก็ได้
- ลงเฉพาะ TikTok</t>
        </is>
      </c>
      <c r="L1461" s="3"/>
      <c r="M1461" t="inlineStr">
        <is>
          <t>1</t>
        </is>
      </c>
      <c r="N1461" t="inlineStr">
        <is>
          <t>AI</t>
        </is>
      </c>
      <c r="O1461"/>
    </row>
    <row r="1462" ht="12.75" customHeight="1">
      <c r="A1462" t="inlineStr">
        <is>
          <t>iPhone 17 Pro ดีไซน์ MagSafe ใหม่ ไม่เหมือนกันรุ่นเก่า</t>
        </is>
      </c>
      <c r="B1462" t="inlineStr">
        <is>
          <t>Sasithakan Sritonthip</t>
        </is>
      </c>
      <c r="C1462" s="2">
        <v>45841</v>
      </c>
      <c r="D1462" s="2"/>
      <c r="E1462" t="inlineStr">
        <is>
          <t>ปกติ</t>
        </is>
      </c>
      <c r="F1462" s="3"/>
      <c r="G1462"/>
      <c r="H1462" t="inlineStr">
        <is>
          <t>Website</t>
        </is>
      </c>
      <c r="I1462" t="inlineStr">
        <is>
          <t>งานประจำวัน</t>
        </is>
      </c>
      <c r="J1462" t="inlineStr">
        <is>
          <t>Done</t>
        </is>
      </c>
      <c r="K1462"/>
      <c r="L1462" s="3"/>
      <c r="M1462" t="inlineStr">
        <is>
          <t>1</t>
        </is>
      </c>
      <c r="N1462" t="inlineStr">
        <is>
          <t>Apple</t>
        </is>
      </c>
      <c r="O1462"/>
    </row>
    <row r="1463" ht="12.75" customHeight="1">
      <c r="A1463" t="inlineStr">
        <is>
          <t xml:space="preserve">Vivo X200 FE </t>
        </is>
      </c>
      <c r="B1463" t="inlineStr">
        <is>
          <t>Saktaphat Kordjan</t>
        </is>
      </c>
      <c r="C1463" s="2">
        <v>45841</v>
      </c>
      <c r="D1463" s="2"/>
      <c r="E1463" t="inlineStr">
        <is>
          <t>ปกติ</t>
        </is>
      </c>
      <c r="F1463" s="3"/>
      <c r="G1463"/>
      <c r="H1463" t="inlineStr">
        <is>
          <t>Website, Pic Posts / Album, Shorts</t>
        </is>
      </c>
      <c r="I1463" t="inlineStr">
        <is>
          <t>งานประจำวัน</t>
        </is>
      </c>
      <c r="J1463" t="inlineStr">
        <is>
          <t>Done</t>
        </is>
      </c>
      <c r="K1463"/>
      <c r="L1463" s="3"/>
      <c r="M1463" t="inlineStr">
        <is>
          <t>1</t>
        </is>
      </c>
      <c r="N1463" t="inlineStr">
        <is>
          <t>Android</t>
        </is>
      </c>
      <c r="O1463"/>
    </row>
    <row r="1464" ht="12.75" customHeight="1">
      <c r="A1464" t="inlineStr">
        <is>
          <t>หูฟัง Beats และ AirPods จะปิดอัตโนมัติเมื่อตรวจสอบว่าหลับใน iOS 26</t>
        </is>
      </c>
      <c r="B1464" t="inlineStr">
        <is>
          <t>Sasithakan Sritonthip</t>
        </is>
      </c>
      <c r="C1464" s="2">
        <v>45841</v>
      </c>
      <c r="D1464" s="2"/>
      <c r="E1464" t="inlineStr">
        <is>
          <t>ปกติ</t>
        </is>
      </c>
      <c r="F1464" s="3"/>
      <c r="G1464"/>
      <c r="H1464" t="inlineStr">
        <is>
          <t>Website</t>
        </is>
      </c>
      <c r="I1464" t="inlineStr">
        <is>
          <t>งานประจำวัน</t>
        </is>
      </c>
      <c r="J1464" t="inlineStr">
        <is>
          <t>Done</t>
        </is>
      </c>
      <c r="K1464"/>
      <c r="L1464" s="3"/>
      <c r="M1464" t="inlineStr">
        <is>
          <t>1</t>
        </is>
      </c>
      <c r="N1464" t="inlineStr">
        <is>
          <t>ทั่วไป</t>
        </is>
      </c>
      <c r="O1464"/>
    </row>
    <row r="1465" ht="12.75" customHeight="1">
      <c r="A1465" t="inlineStr">
        <is>
          <t xml:space="preserve">Vivo X200 FE </t>
        </is>
      </c>
      <c r="B1465" t="inlineStr">
        <is>
          <t>Saktaphat Kordjan,Sasithakan Sritonthip</t>
        </is>
      </c>
      <c r="C1465" s="2">
        <v>45841</v>
      </c>
      <c r="D1465" s="2"/>
      <c r="E1465" t="inlineStr">
        <is>
          <t>ปกติ</t>
        </is>
      </c>
      <c r="F1465" s="3" t="str">
        <f>=HYPERLINK("https://www.vivo.com/th/activity/x200-fe-launch", "https://www.vivo.com/th/activity/x200-fe-launch")</f>
        <v>https://www.vivo.com/th/activity/x200-fe-launch</v>
      </c>
      <c r="G1465"/>
      <c r="H1465" t="inlineStr">
        <is>
          <t>Shorts</t>
        </is>
      </c>
      <c r="I1465" t="inlineStr">
        <is>
          <t>งานประจำวัน</t>
        </is>
      </c>
      <c r="J1465" t="inlineStr">
        <is>
          <t>Done</t>
        </is>
      </c>
      <c r="K1465"/>
      <c r="L1465" s="3"/>
      <c r="M1465" t="inlineStr">
        <is>
          <t>1</t>
        </is>
      </c>
      <c r="N1465" t="inlineStr">
        <is>
          <t>Android</t>
        </is>
      </c>
      <c r="O1465"/>
    </row>
    <row r="1466" ht="12.75" customHeight="1">
      <c r="A1466" t="inlineStr">
        <is>
          <t>เปิดตัว Honor Magic V5 บางลงกว่าเดิม สเปคดีขึ้นหลายอย่าง</t>
        </is>
      </c>
      <c r="B1466" t="inlineStr">
        <is>
          <t>Saktaphat Kordjan</t>
        </is>
      </c>
      <c r="C1466" s="2">
        <v>45841</v>
      </c>
      <c r="D1466" s="2"/>
      <c r="E1466" t="inlineStr">
        <is>
          <t>ปกติ</t>
        </is>
      </c>
      <c r="F1466" s="3"/>
      <c r="G1466"/>
      <c r="H1466" t="inlineStr">
        <is>
          <t>Website</t>
        </is>
      </c>
      <c r="I1466" t="inlineStr">
        <is>
          <t>งานประจำวัน</t>
        </is>
      </c>
      <c r="J1466" t="inlineStr">
        <is>
          <t>Done</t>
        </is>
      </c>
      <c r="K1466"/>
      <c r="L1466" s="3"/>
      <c r="M1466" t="inlineStr">
        <is>
          <t>1</t>
        </is>
      </c>
      <c r="N1466" t="inlineStr">
        <is>
          <t>Android</t>
        </is>
      </c>
      <c r="O1466"/>
    </row>
    <row r="1467" ht="12.75" customHeight="1">
      <c r="A1467" t="inlineStr">
        <is>
          <t xml:space="preserve">สรุปข่าวไอที 3 ก.ค. </t>
        </is>
      </c>
      <c r="B1467" t="inlineStr">
        <is>
          <t>Saktaphat Kordjan</t>
        </is>
      </c>
      <c r="C1467" s="2">
        <v>45841</v>
      </c>
      <c r="D1467" s="2"/>
      <c r="E1467" t="inlineStr">
        <is>
          <t>ปกติ</t>
        </is>
      </c>
      <c r="F1467" s="3"/>
      <c r="G1467"/>
      <c r="H1467" t="inlineStr">
        <is>
          <t>YouTube</t>
        </is>
      </c>
      <c r="I1467" t="inlineStr">
        <is>
          <t>งานประจำวัน</t>
        </is>
      </c>
      <c r="J1467" t="inlineStr">
        <is>
          <t>Done</t>
        </is>
      </c>
      <c r="K1467"/>
      <c r="L1467" s="3"/>
      <c r="M1467" t="inlineStr">
        <is>
          <t>1</t>
        </is>
      </c>
      <c r="N1467" t="inlineStr">
        <is>
          <t>Android, Tech</t>
        </is>
      </c>
      <c r="O1467"/>
    </row>
    <row r="1468" ht="12.75" customHeight="1">
      <c r="A1468" t="inlineStr">
        <is>
          <t xml:space="preserve"> Back to STU</t>
        </is>
      </c>
      <c r="B1468" t="inlineStr">
        <is>
          <t>Nattida Suriyodara</t>
        </is>
      </c>
      <c r="C1468" s="2">
        <v>45840</v>
      </c>
      <c r="D1468" s="2"/>
      <c r="E1468" t="inlineStr">
        <is>
          <t>ปกติ</t>
        </is>
      </c>
      <c r="F1468" s="3"/>
      <c r="G1468"/>
      <c r="H1468" t="inlineStr">
        <is>
          <t>Shorts</t>
        </is>
      </c>
      <c r="I1468" t="inlineStr">
        <is>
          <t>งานลูกค้า</t>
        </is>
      </c>
      <c r="J1468" t="inlineStr">
        <is>
          <t>Done</t>
        </is>
      </c>
      <c r="K1468" t="inlineStr">
        <is>
          <t>พี่ผิงถ่าย-ตัด</t>
        </is>
      </c>
      <c r="L1468" s="3"/>
      <c r="M1468" t="inlineStr">
        <is>
          <t>1</t>
        </is>
      </c>
      <c r="N1468" t="inlineStr">
        <is>
          <t>Apple</t>
        </is>
      </c>
      <c r="O1468"/>
    </row>
    <row r="1469" ht="12.75" customHeight="1">
      <c r="A1469" t="inlineStr">
        <is>
          <t xml:space="preserve">สรุปเปิดตัว Nothing Phone 3 </t>
        </is>
      </c>
      <c r="B1469" t="inlineStr">
        <is>
          <t>Saktaphat Kordjan</t>
        </is>
      </c>
      <c r="C1469" s="2">
        <v>45840</v>
      </c>
      <c r="D1469" s="2"/>
      <c r="E1469" t="inlineStr">
        <is>
          <t>ปกติ</t>
        </is>
      </c>
      <c r="F1469" s="3"/>
      <c r="G1469"/>
      <c r="H1469" t="inlineStr">
        <is>
          <t>Website, YouTube</t>
        </is>
      </c>
      <c r="I1469" t="inlineStr">
        <is>
          <t>งานประจำวัน</t>
        </is>
      </c>
      <c r="J1469" t="inlineStr">
        <is>
          <t>Done</t>
        </is>
      </c>
      <c r="K1469"/>
      <c r="L1469" s="3"/>
      <c r="M1469" t="inlineStr">
        <is>
          <t>1</t>
        </is>
      </c>
      <c r="N1469" t="inlineStr">
        <is>
          <t>Android</t>
        </is>
      </c>
      <c r="O1469"/>
    </row>
    <row r="1470" ht="12.75" customHeight="1">
      <c r="A1470" t="inlineStr">
        <is>
          <t>Nothing เปิดตัวหูฟังใหม่ Headphone (1)</t>
        </is>
      </c>
      <c r="B1470" t="inlineStr">
        <is>
          <t>Sasithakan Sritonthip</t>
        </is>
      </c>
      <c r="C1470" s="2">
        <v>45840</v>
      </c>
      <c r="D1470" s="2"/>
      <c r="E1470" t="inlineStr">
        <is>
          <t>ปกติ</t>
        </is>
      </c>
      <c r="F1470" s="3" t="str">
        <f>=HYPERLINK("https://th.nothing.tech/products/headphone-1?", "https://th.nothing.tech/products/headphone-1?สี=White")</f>
        <v>https://th.nothing.tech/products/headphone-1?สี=White</v>
      </c>
      <c r="G1470"/>
      <c r="H1470" t="inlineStr">
        <is>
          <t>Website, Pic Posts / Album</t>
        </is>
      </c>
      <c r="I1470" t="inlineStr">
        <is>
          <t>งานประจำวัน</t>
        </is>
      </c>
      <c r="J1470" t="inlineStr">
        <is>
          <t>Done</t>
        </is>
      </c>
      <c r="K1470"/>
      <c r="L1470" s="3"/>
      <c r="M1470" t="inlineStr">
        <is>
          <t>1</t>
        </is>
      </c>
      <c r="N1470" t="inlineStr">
        <is>
          <t>Tech</t>
        </is>
      </c>
      <c r="O1470"/>
    </row>
    <row r="1471" ht="12.75" customHeight="1">
      <c r="A1471" t="inlineStr">
        <is>
          <t xml:space="preserve">หูฟังจาก SteelSeries พร้อมรองรับ Nintendo Switch 2 </t>
        </is>
      </c>
      <c r="B1471" t="inlineStr">
        <is>
          <t>Saktaphat Kordjan</t>
        </is>
      </c>
      <c r="C1471" s="2">
        <v>45840</v>
      </c>
      <c r="D1471" s="2"/>
      <c r="E1471" t="inlineStr">
        <is>
          <t>ปกติ</t>
        </is>
      </c>
      <c r="F1471" s="3"/>
      <c r="G1471"/>
      <c r="H1471" t="inlineStr">
        <is>
          <t>Website</t>
        </is>
      </c>
      <c r="I1471" t="inlineStr">
        <is>
          <t>งานประจำวัน</t>
        </is>
      </c>
      <c r="J1471" t="inlineStr">
        <is>
          <t>Done</t>
        </is>
      </c>
      <c r="K1471"/>
      <c r="L1471" s="3"/>
      <c r="M1471" t="inlineStr">
        <is>
          <t>1</t>
        </is>
      </c>
      <c r="N1471" t="inlineStr">
        <is>
          <t>Tech, PR</t>
        </is>
      </c>
      <c r="O1471"/>
    </row>
    <row r="1472" ht="12.75" customHeight="1">
      <c r="A1472" t="inlineStr">
        <is>
          <t>เปิดตัวหูฟังใหม่ Headphone (1)</t>
        </is>
      </c>
      <c r="B1472" t="inlineStr">
        <is>
          <t>Saktaphat Kordjan</t>
        </is>
      </c>
      <c r="C1472" s="2">
        <v>45840</v>
      </c>
      <c r="D1472" s="2"/>
      <c r="E1472"/>
      <c r="F1472" s="3" t="str">
        <f>=HYPERLINK("https://th.nothing.tech/products/headphone-1?", "https://th.nothing.tech/products/headphone-1?สี=White")</f>
        <v>https://th.nothing.tech/products/headphone-1?สี=White</v>
      </c>
      <c r="G1472"/>
      <c r="H1472" t="inlineStr">
        <is>
          <t>Shorts</t>
        </is>
      </c>
      <c r="I1472" t="inlineStr">
        <is>
          <t>งานประจำวัน</t>
        </is>
      </c>
      <c r="J1472" t="inlineStr">
        <is>
          <t>Done</t>
        </is>
      </c>
      <c r="K1472"/>
      <c r="L1472" s="3"/>
      <c r="M1472" t="inlineStr">
        <is>
          <t>1</t>
        </is>
      </c>
      <c r="N1472" t="inlineStr">
        <is>
          <t>Tech</t>
        </is>
      </c>
      <c r="O1472"/>
    </row>
    <row r="1473" ht="12.75" customHeight="1">
      <c r="A1473" t="inlineStr">
        <is>
          <t>Nothing Phone (3) รุ่นที่ขายในอินเดียมีแบตมากกว่าที่อื่น</t>
        </is>
      </c>
      <c r="B1473" t="inlineStr">
        <is>
          <t>Saktaphat Kordjan</t>
        </is>
      </c>
      <c r="C1473" s="2">
        <v>45840</v>
      </c>
      <c r="D1473" s="2"/>
      <c r="E1473" t="inlineStr">
        <is>
          <t>ปกติ</t>
        </is>
      </c>
      <c r="F1473" s="3"/>
      <c r="G1473"/>
      <c r="H1473" t="inlineStr">
        <is>
          <t>Website</t>
        </is>
      </c>
      <c r="I1473" t="inlineStr">
        <is>
          <t>งานประจำวัน</t>
        </is>
      </c>
      <c r="J1473" t="inlineStr">
        <is>
          <t>Done</t>
        </is>
      </c>
      <c r="K1473"/>
      <c r="L1473" s="3"/>
      <c r="M1473" t="inlineStr">
        <is>
          <t>1</t>
        </is>
      </c>
      <c r="N1473" t="inlineStr">
        <is>
          <t>Android</t>
        </is>
      </c>
      <c r="O1473"/>
    </row>
    <row r="1474" ht="12.75" customHeight="1">
      <c r="A1474" t="inlineStr">
        <is>
          <t>เปิดตัว Nothing Phone (3)</t>
        </is>
      </c>
      <c r="B1474" t="inlineStr">
        <is>
          <t>Saktaphat Kordjan,Sasithakan Sritonthip</t>
        </is>
      </c>
      <c r="C1474" s="2">
        <v>45840</v>
      </c>
      <c r="D1474" s="2"/>
      <c r="E1474" t="inlineStr">
        <is>
          <t>ปกติ</t>
        </is>
      </c>
      <c r="F1474" s="3"/>
      <c r="G1474"/>
      <c r="H1474" t="inlineStr">
        <is>
          <t>Shorts</t>
        </is>
      </c>
      <c r="I1474" t="inlineStr">
        <is>
          <t>งานประจำวัน</t>
        </is>
      </c>
      <c r="J1474" t="inlineStr">
        <is>
          <t>Done</t>
        </is>
      </c>
      <c r="K1474"/>
      <c r="L1474" s="3"/>
      <c r="M1474" t="inlineStr">
        <is>
          <t>1</t>
        </is>
      </c>
      <c r="N1474" t="inlineStr">
        <is>
          <t>Android</t>
        </is>
      </c>
      <c r="O1474"/>
    </row>
    <row r="1475" ht="12.75" customHeight="1">
      <c r="A1475" t="inlineStr">
        <is>
          <t>Galaxy Watch อาจปรับดีไซน์ Gmail, Google Keep</t>
        </is>
      </c>
      <c r="B1475" t="inlineStr">
        <is>
          <t>Saktaphat Kordjan</t>
        </is>
      </c>
      <c r="C1475" s="2">
        <v>45840</v>
      </c>
      <c r="D1475" s="2"/>
      <c r="E1475" t="inlineStr">
        <is>
          <t>ปกติ</t>
        </is>
      </c>
      <c r="F1475" s="3"/>
      <c r="G1475"/>
      <c r="H1475" t="inlineStr">
        <is>
          <t>Website</t>
        </is>
      </c>
      <c r="I1475" t="inlineStr">
        <is>
          <t>งานประจำวัน</t>
        </is>
      </c>
      <c r="J1475" t="inlineStr">
        <is>
          <t>Done</t>
        </is>
      </c>
      <c r="K1475"/>
      <c r="L1475" s="3"/>
      <c r="M1475" t="inlineStr">
        <is>
          <t>1</t>
        </is>
      </c>
      <c r="N1475" t="inlineStr">
        <is>
          <t>Android</t>
        </is>
      </c>
      <c r="O1475"/>
    </row>
    <row r="1476" ht="12.75" customHeight="1">
      <c r="A1476" t="inlineStr">
        <is>
          <t xml:space="preserve">Nothing เปิดตัว Nothing Phone (3) </t>
        </is>
      </c>
      <c r="B1476" t="inlineStr">
        <is>
          <t>Thitirath Kinaret</t>
        </is>
      </c>
      <c r="C1476" s="2">
        <v>45840</v>
      </c>
      <c r="D1476" s="2">
        <v>45840</v>
      </c>
      <c r="E1476" t="inlineStr">
        <is>
          <t>ปกติ</t>
        </is>
      </c>
      <c r="F1476" s="3"/>
      <c r="G1476"/>
      <c r="H1476" t="inlineStr">
        <is>
          <t>Pic Posts / Album</t>
        </is>
      </c>
      <c r="I1476" t="inlineStr">
        <is>
          <t>งานประจำวัน</t>
        </is>
      </c>
      <c r="J1476" t="inlineStr">
        <is>
          <t>Done</t>
        </is>
      </c>
      <c r="K1476"/>
      <c r="L1476" s="3" t="str">
        <f>=HYPERLINK("https://www.facebook.com/iPhonemod/posts/pfbid02ibAbdSCeSh7o7TSMRzNMRGkH83q6VByRcv9piho38DYDMNQarQeFawRDmUdvQPHQl?__cft__[0]=AZWdFMOO0cO6dOSO8NPNgR605sUe7PSHfSLd7wBjMpKoUGKdNOqjLhgPbK6EiEJ6ssXHo8FoGrzYTEws0hwdCFPpN88u1RGQfWFvR0k-9NnR1I_LIZDXmpaB8Oo8-t-och9s4paxzgs8wt_w7k0TBF9sTre0CySNgscPRas52H9-itmON54-NBg4G3sTv1Qg9h5YzEsLS9kxsZLYxO3POnTA&amp;__tn__=%2CO%2CP-R", "https://www.facebook.com/iPhonemod/posts/pfbid02ibAbdSCeSh7o7TSMRzNMRGkH83q6VByRcv9piho38DYDMNQarQeFawRDmUdvQPHQl?__cft__[0]=AZWdFMOO0cO6dOSO8NPNgR605sUe7PSHfSLd7wBjMpKoUGKdNOqjLhgPbK6EiEJ6ssXHo8FoGrzYTEws0hwdCFPpN88u1RGQfWFvR0k-9NnR1I_LIZDXmpaB8Oo8-t-och9s4paxzgs8wt_w7k0TBF9sTre0CySNgscPRas52H9-itmON54-NBg4G3sTv1Qg9h5YzEsLS9kxsZLYxO3POnTA&amp;__tn__=%2CO%2CP-R")</f>
        <v>https://www.facebook.com/iPhonemod/posts/pfbid02ibAbdSCeSh7o7TSMRzNMRGkH83q6VByRcv9piho38DYDMNQarQeFawRDmUdvQPHQl?__cft__[0]=AZWdFMOO0cO6dOSO8NPNgR605sUe7PSHfSLd7wBjMpKoUGKdNOqjLhgPbK6EiEJ6ssXHo8FoGrzYTEws0hwdCFPpN88u1RGQfWFvR0k-9NnR1I_LIZDXmpaB8Oo8-t-och9s4paxzgs8wt_w7k0TBF9sTre0CySNgscPRas52H9-itmON54-NBg4G3sTv1Qg9h5YzEsLS9kxsZLYxO3POnTA&amp;__tn__=%2CO%2CP-R</v>
      </c>
      <c r="M1476" t="inlineStr">
        <is>
          <t>1</t>
        </is>
      </c>
      <c r="N1476" t="inlineStr">
        <is>
          <t>Android</t>
        </is>
      </c>
      <c r="O1476"/>
    </row>
    <row r="1477" ht="12.75" customHeight="1">
      <c r="A1477" t="inlineStr">
        <is>
          <t xml:space="preserve">Nothing เปิดตัว Nothing Headphone (1) </t>
        </is>
      </c>
      <c r="B1477" t="inlineStr">
        <is>
          <t>Thitirath Kinaret</t>
        </is>
      </c>
      <c r="C1477" s="2">
        <v>45840</v>
      </c>
      <c r="D1477" s="2">
        <v>45840</v>
      </c>
      <c r="E1477" t="inlineStr">
        <is>
          <t>ปกติ</t>
        </is>
      </c>
      <c r="F1477" s="3"/>
      <c r="G1477"/>
      <c r="H1477" t="inlineStr">
        <is>
          <t>Pic Posts / Album</t>
        </is>
      </c>
      <c r="I1477" t="inlineStr">
        <is>
          <t>งานประจำวัน</t>
        </is>
      </c>
      <c r="J1477" t="inlineStr">
        <is>
          <t>Done</t>
        </is>
      </c>
      <c r="K1477"/>
      <c r="L1477" s="3" t="str">
        <f>=HYPERLINK("https://www.facebook.com/iPhonemod/posts/pfbid0j5EYUk4tU21ySyYWCAQH71opDPGLCDCHSSEmtYT4Dku4aD8qgn8Pz7Dou9gEtfbhl?__cft__[0]=AZUIHR3w_JHZQYsQAegIgkjax4WKS_KKGmYQcJh6d1U_cJN26cyN4scTqJ6YK575iLqz93S6BjfhxyuXR-7f26r1rU2TatePPPQFyoZsBMc7tanDbcvHtLLG2Qj7EXcBes9xtgA3PUqVa6tFIM-mb_XHjMsx9cC9BrcdLzizu-Cn_JquZU4lP37rsmrEI8g2fmF4Hb-kQ5Hxu9Oq5TFahZVv&amp;__tn__=%2CO%2CP-R", "https://www.facebook.com/iPhonemod/posts/pfbid0j5EYUk4tU21ySyYWCAQH71opDPGLCDCHSSEmtYT4Dku4aD8qgn8Pz7Dou9gEtfbhl?__cft__[0]=AZUIHR3w_JHZQYsQAegIgkjax4WKS_KKGmYQcJh6d1U_cJN26cyN4scTqJ6YK575iLqz93S6BjfhxyuXR-7f26r1rU2TatePPPQFyoZsBMc7tanDbcvHtLLG2Qj7EXcBes9xtgA3PUqVa6tFIM-mb_XHjMsx9cC9BrcdLzizu-Cn_JquZU4lP37rsmrEI8g2fmF4Hb-kQ5Hxu9Oq5TFahZVv&amp;__tn__=%2CO%2CP-R")</f>
        <v>https://www.facebook.com/iPhonemod/posts/pfbid0j5EYUk4tU21ySyYWCAQH71opDPGLCDCHSSEmtYT4Dku4aD8qgn8Pz7Dou9gEtfbhl?__cft__[0]=AZUIHR3w_JHZQYsQAegIgkjax4WKS_KKGmYQcJh6d1U_cJN26cyN4scTqJ6YK575iLqz93S6BjfhxyuXR-7f26r1rU2TatePPPQFyoZsBMc7tanDbcvHtLLG2Qj7EXcBes9xtgA3PUqVa6tFIM-mb_XHjMsx9cC9BrcdLzizu-Cn_JquZU4lP37rsmrEI8g2fmF4Hb-kQ5Hxu9Oq5TFahZVv&amp;__tn__=%2CO%2CP-R</v>
      </c>
      <c r="M1477" t="inlineStr">
        <is>
          <t>1</t>
        </is>
      </c>
      <c r="N1477" t="inlineStr">
        <is>
          <t>Android</t>
        </is>
      </c>
      <c r="O1477"/>
    </row>
    <row r="1478" ht="12.75" customHeight="1">
      <c r="A1478" t="inlineStr">
        <is>
          <t>"เที่ยวไทยคนละครึ่ง" สำหรับประชาชนทั่วไปเปิดลงทะเบียนแล้ว!</t>
        </is>
      </c>
      <c r="B1478" t="inlineStr">
        <is>
          <t>Thitirath Kinaret</t>
        </is>
      </c>
      <c r="C1478" s="2">
        <v>45839</v>
      </c>
      <c r="D1478" s="2">
        <v>45839</v>
      </c>
      <c r="E1478" t="inlineStr">
        <is>
          <t>ปกติ</t>
        </is>
      </c>
      <c r="F1478" s="3"/>
      <c r="G1478"/>
      <c r="H1478" t="inlineStr">
        <is>
          <t>Pic Posts / Album</t>
        </is>
      </c>
      <c r="I1478" t="inlineStr">
        <is>
          <t>งานประจำวัน</t>
        </is>
      </c>
      <c r="J1478" t="inlineStr">
        <is>
          <t>Done</t>
        </is>
      </c>
      <c r="K1478"/>
      <c r="L1478" s="3" t="str">
        <f>=HYPERLINK("https://www.facebook.com/iPhonemod/posts/pfbid02kWn5z6G7ZKgtnFjhmg99baGpcFpX1KBByN2pWqY6Ldg5wuRN7c2qzTF9anSq3FYwl?__cft__[0]=AZUifs_m8J4yZIYfP8mGemHPKoQVxvCGwHFQaKRjmKhKSP6U49lC_nPytdzWTGhxsJUAd0PkWqF82vHnS4NXnajiLAjK0tHSIqssw0RXfMzJ7GeKCIuRhpTK_-9OVElVjNyRq1TWQbI2EKOhBx3NpPpnWt0PcVOCqcob2JuaoY6riMIyx_pS2KqD7CPBMZimZewuIRwHtPRJFVnWA4uxQOhW&amp;__tn__=%2CO%2CP-R", "https://www.facebook.com/iPhonemod/posts/pfbid02kWn5z6G7ZKgtnFjhmg99baGpcFpX1KBByN2pWqY6Ldg5wuRN7c2qzTF9anSq3FYwl?__cft__[0]=AZUifs_m8J4yZIYfP8mGemHPKoQVxvCGwHFQaKRjmKhKSP6U49lC_nPytdzWTGhxsJUAd0PkWqF82vHnS4NXnajiLAjK0tHSIqssw0RXfMzJ7GeKCIuRhpTK_-9OVElVjNyRq1TWQbI2EKOhBx3NpPpnWt0PcVOCqcob2JuaoY6riMIyx_pS2KqD7CPBMZimZewuIRwHtPRJFVnWA4uxQOhW&amp;__tn__=%2CO%2CP-R")</f>
        <v>https://www.facebook.com/iPhonemod/posts/pfbid02kWn5z6G7ZKgtnFjhmg99baGpcFpX1KBByN2pWqY6Ldg5wuRN7c2qzTF9anSq3FYwl?__cft__[0]=AZUifs_m8J4yZIYfP8mGemHPKoQVxvCGwHFQaKRjmKhKSP6U49lC_nPytdzWTGhxsJUAd0PkWqF82vHnS4NXnajiLAjK0tHSIqssw0RXfMzJ7GeKCIuRhpTK_-9OVElVjNyRq1TWQbI2EKOhBx3NpPpnWt0PcVOCqcob2JuaoY6riMIyx_pS2KqD7CPBMZimZewuIRwHtPRJFVnWA4uxQOhW&amp;__tn__=%2CO%2CP-R</v>
      </c>
      <c r="M1478" t="inlineStr">
        <is>
          <t>1</t>
        </is>
      </c>
      <c r="N1478" t="inlineStr">
        <is>
          <t>ทั่วไป</t>
        </is>
      </c>
      <c r="O1478"/>
    </row>
    <row r="1479" ht="12.75" customHeight="1">
      <c r="A1479" t="inlineStr">
        <is>
          <t xml:space="preserve">วิธีลงทะเบียน "เที่ยวไทยคนละครึ่ง" </t>
        </is>
      </c>
      <c r="B1479" t="inlineStr">
        <is>
          <t>Thitirath Kinaret</t>
        </is>
      </c>
      <c r="C1479" s="2">
        <v>45839</v>
      </c>
      <c r="D1479" s="2">
        <v>45839</v>
      </c>
      <c r="E1479" t="inlineStr">
        <is>
          <t>ปกติ</t>
        </is>
      </c>
      <c r="F1479" s="3"/>
      <c r="G1479"/>
      <c r="H1479" t="inlineStr">
        <is>
          <t>Pic Posts / Album</t>
        </is>
      </c>
      <c r="I1479" t="inlineStr">
        <is>
          <t>งานประจำวัน</t>
        </is>
      </c>
      <c r="J1479" t="inlineStr">
        <is>
          <t>Done</t>
        </is>
      </c>
      <c r="K1479"/>
      <c r="L1479" s="3" t="str">
        <f>=HYPERLINK("https://www.facebook.com/iPhonemod/posts/pfbid024ESqeRDWwtLpyQvZNYbcq6hVKmVmYEXMCjxF5MRQN88ikZtzGrSopxGQqpAM3UNHl?__cft__[0]=AZVRlXRdyia9wv0F8a-HoKMlBlXtbduEBTRbRs12JRf9nbr5L1hoxsgl1WVY1GPq99pbvlFXmLC0r20JuBeUjv2j57cCiuLWcZQJ3lqcEz3fIRA8uwQGZ2M1sGRdYHeYY7d1zNagA7j6V4sCxVl9-UUUK0mT5UGc9vS7vTEPjSXEMGDr3--AF9qxh3Tm57Nedv2tp_38-g-4NTzZaaqCNfit&amp;__tn__=%2CO%2CP-R", "https://www.facebook.com/iPhonemod/posts/pfbid024ESqeRDWwtLpyQvZNYbcq6hVKmVmYEXMCjxF5MRQN88ikZtzGrSopxGQqpAM3UNHl?__cft__[0]=AZVRlXRdyia9wv0F8a-HoKMlBlXtbduEBTRbRs12JRf9nbr5L1hoxsgl1WVY1GPq99pbvlFXmLC0r20JuBeUjv2j57cCiuLWcZQJ3lqcEz3fIRA8uwQGZ2M1sGRdYHeYY7d1zNagA7j6V4sCxVl9-UUUK0mT5UGc9vS7vTEPjSXEMGDr3--AF9qxh3Tm57Nedv2tp_38-g-4NTzZaaqCNfit&amp;__tn__=%2CO%2CP-R")</f>
        <v>https://www.facebook.com/iPhonemod/posts/pfbid024ESqeRDWwtLpyQvZNYbcq6hVKmVmYEXMCjxF5MRQN88ikZtzGrSopxGQqpAM3UNHl?__cft__[0]=AZVRlXRdyia9wv0F8a-HoKMlBlXtbduEBTRbRs12JRf9nbr5L1hoxsgl1WVY1GPq99pbvlFXmLC0r20JuBeUjv2j57cCiuLWcZQJ3lqcEz3fIRA8uwQGZ2M1sGRdYHeYY7d1zNagA7j6V4sCxVl9-UUUK0mT5UGc9vS7vTEPjSXEMGDr3--AF9qxh3Tm57Nedv2tp_38-g-4NTzZaaqCNfit&amp;__tn__=%2CO%2CP-R</v>
      </c>
      <c r="M1479" t="inlineStr">
        <is>
          <t>1</t>
        </is>
      </c>
      <c r="N1479" t="inlineStr">
        <is>
          <t>ทั่วไป</t>
        </is>
      </c>
      <c r="O1479"/>
    </row>
    <row r="1480" ht="12.75" customHeight="1">
      <c r="A1480" t="inlineStr">
        <is>
          <t>BaNANA Tie in สรุปข่าวลือ Galaxy Z Fold7 | Z Flip7</t>
        </is>
      </c>
      <c r="B1480" t="inlineStr">
        <is>
          <t>Thitirath Kinaret</t>
        </is>
      </c>
      <c r="C1480" s="2">
        <v>45839</v>
      </c>
      <c r="D1480" s="2">
        <v>45841</v>
      </c>
      <c r="E1480" t="inlineStr">
        <is>
          <t>ปกติ</t>
        </is>
      </c>
      <c r="F1480" s="3"/>
      <c r="G1480"/>
      <c r="H1480" t="inlineStr">
        <is>
          <t>Pic Posts / Album</t>
        </is>
      </c>
      <c r="I1480" t="inlineStr">
        <is>
          <t>งานลูกค้า</t>
        </is>
      </c>
      <c r="J1480" t="inlineStr">
        <is>
          <t>Done</t>
        </is>
      </c>
      <c r="K1480"/>
      <c r="L1480" s="3" t="str">
        <f>=HYPERLINK("https://www.facebook.com/iPhonemod/posts/pfbid0237uPH7SuxiYFSjrE24ESeG9bnuULs4SNG6Re5UVZZJesy8zvYfzxJjYdcqNTLrEVl?__cft__[0]=AZWixwJWClSMgwyTfwfBAAlDBfXSTVf47tQEp86205ot2CpxdgtRyX_krfrjqkC5iZ6uL9dMP6XNsjj1TaYVfXwdqa4LtsbnVPXiBxtMMlbCWi3iv8eYXEa2PS1J-J_NRBIk8HbAamogvyVtMXeWglNFJrTI-yiisGk2RpZv8m73yxvsLn7wdso13MS47v-tRBUbeLEAjyYXLv_FqKM9MfC2&amp;__tn__=%2CO%2CP-R", "https://www.facebook.com/iPhonemod/posts/pfbid0237uPH7SuxiYFSjrE24ESeG9bnuULs4SNG6Re5UVZZJesy8zvYfzxJjYdcqNTLrEVl?__cft__[0]=AZWixwJWClSMgwyTfwfBAAlDBfXSTVf47tQEp86205ot2CpxdgtRyX_krfrjqkC5iZ6uL9dMP6XNsjj1TaYVfXwdqa4LtsbnVPXiBxtMMlbCWi3iv8eYXEa2PS1J-J_NRBIk8HbAamogvyVtMXeWglNFJrTI-yiisGk2RpZv8m73yxvsLn7wdso13MS47v-tRBUbeLEAjyYXLv_FqKM9MfC2&amp;__tn__=%2CO%2CP-R")</f>
        <v>https://www.facebook.com/iPhonemod/posts/pfbid0237uPH7SuxiYFSjrE24ESeG9bnuULs4SNG6Re5UVZZJesy8zvYfzxJjYdcqNTLrEVl?__cft__[0]=AZWixwJWClSMgwyTfwfBAAlDBfXSTVf47tQEp86205ot2CpxdgtRyX_krfrjqkC5iZ6uL9dMP6XNsjj1TaYVfXwdqa4LtsbnVPXiBxtMMlbCWi3iv8eYXEa2PS1J-J_NRBIk8HbAamogvyVtMXeWglNFJrTI-yiisGk2RpZv8m73yxvsLn7wdso13MS47v-tRBUbeLEAjyYXLv_FqKM9MfC2&amp;__tn__=%2CO%2CP-R</v>
      </c>
      <c r="M1480" t="inlineStr">
        <is>
          <t>1</t>
        </is>
      </c>
      <c r="N1480" t="inlineStr">
        <is>
          <t>Android</t>
        </is>
      </c>
      <c r="O1480"/>
    </row>
    <row r="1481" ht="12.75" customHeight="1">
      <c r="A1481" t="inlineStr">
        <is>
          <t>Galaxy Z Fold 7 อาจไม่ได้อัปเกรดด้านความทนทาน</t>
        </is>
      </c>
      <c r="B1481" t="inlineStr">
        <is>
          <t>Saktaphat Kordjan</t>
        </is>
      </c>
      <c r="C1481" s="2">
        <v>45839</v>
      </c>
      <c r="D1481" s="2"/>
      <c r="E1481" t="inlineStr">
        <is>
          <t>ปกติ</t>
        </is>
      </c>
      <c r="F1481" s="3"/>
      <c r="G1481"/>
      <c r="H1481" t="inlineStr">
        <is>
          <t>Website</t>
        </is>
      </c>
      <c r="I1481" t="inlineStr">
        <is>
          <t>งานประจำวัน</t>
        </is>
      </c>
      <c r="J1481" t="inlineStr">
        <is>
          <t>Done</t>
        </is>
      </c>
      <c r="K1481"/>
      <c r="L1481" s="3"/>
      <c r="M1481" t="inlineStr">
        <is>
          <t>1</t>
        </is>
      </c>
      <c r="N1481" t="inlineStr">
        <is>
          <t>Android</t>
        </is>
      </c>
      <c r="O1481"/>
    </row>
    <row r="1482" ht="12.75" customHeight="1">
      <c r="A1482" t="inlineStr">
        <is>
          <t>ลือ! สเปค Google Pixel 10 Pro และ Pixel 10 Pro XL</t>
        </is>
      </c>
      <c r="B1482" t="inlineStr">
        <is>
          <t>Saktaphat Kordjan</t>
        </is>
      </c>
      <c r="C1482" s="2">
        <v>45839</v>
      </c>
      <c r="D1482" s="2"/>
      <c r="E1482" t="inlineStr">
        <is>
          <t>ปกติ</t>
        </is>
      </c>
      <c r="F1482" s="3"/>
      <c r="G1482"/>
      <c r="H1482" t="inlineStr">
        <is>
          <t>Website</t>
        </is>
      </c>
      <c r="I1482" t="inlineStr">
        <is>
          <t>งานประจำวัน</t>
        </is>
      </c>
      <c r="J1482" t="inlineStr">
        <is>
          <t>Done</t>
        </is>
      </c>
      <c r="K1482"/>
      <c r="L1482" s="3"/>
      <c r="M1482" t="inlineStr">
        <is>
          <t>1</t>
        </is>
      </c>
      <c r="N1482" t="inlineStr">
        <is>
          <t>Android</t>
        </is>
      </c>
      <c r="O1482"/>
    </row>
    <row r="1483" ht="12.75" customHeight="1">
      <c r="A1483" t="inlineStr">
        <is>
          <t>เที่ยวไทยคนละครึ่ง (Oh no)</t>
        </is>
      </c>
      <c r="B1483" t="inlineStr">
        <is>
          <t>Nattida Suriyodara</t>
        </is>
      </c>
      <c r="C1483" s="2">
        <v>45839</v>
      </c>
      <c r="D1483" s="2"/>
      <c r="E1483" t="inlineStr">
        <is>
          <t>ปกติ</t>
        </is>
      </c>
      <c r="F1483" s="3"/>
      <c r="G1483"/>
      <c r="H1483" t="inlineStr">
        <is>
          <t>Shorts</t>
        </is>
      </c>
      <c r="I1483" t="inlineStr">
        <is>
          <t>งานประจำวัน</t>
        </is>
      </c>
      <c r="J1483" t="inlineStr">
        <is>
          <t>Done</t>
        </is>
      </c>
      <c r="K1483" t="inlineStr">
        <is>
          <t>ลงเฉพาะ TikTok</t>
        </is>
      </c>
      <c r="L1483" s="3"/>
      <c r="M1483" t="inlineStr">
        <is>
          <t>1</t>
        </is>
      </c>
      <c r="N1483" t="inlineStr">
        <is>
          <t>ทั่วไป</t>
        </is>
      </c>
      <c r="O1483"/>
    </row>
    <row r="1484" ht="12.75" customHeight="1">
      <c r="A1484" t="inlineStr">
        <is>
          <t>แอป Microsoft Authenticator กำลังยุติการรองรับรหัสผ่าน</t>
        </is>
      </c>
      <c r="B1484" t="inlineStr">
        <is>
          <t>Saktaphat Kordjan</t>
        </is>
      </c>
      <c r="C1484" s="2">
        <v>45839</v>
      </c>
      <c r="D1484" s="2"/>
      <c r="E1484" t="inlineStr">
        <is>
          <t>ปกติ</t>
        </is>
      </c>
      <c r="F1484" s="3"/>
      <c r="G1484"/>
      <c r="H1484" t="inlineStr">
        <is>
          <t>Website</t>
        </is>
      </c>
      <c r="I1484" t="inlineStr">
        <is>
          <t>งานประจำวัน</t>
        </is>
      </c>
      <c r="J1484" t="inlineStr">
        <is>
          <t>Done</t>
        </is>
      </c>
      <c r="K1484"/>
      <c r="L1484" s="3"/>
      <c r="M1484" t="inlineStr">
        <is>
          <t>1</t>
        </is>
      </c>
      <c r="N1484" t="inlineStr">
        <is>
          <t>ทั่วไป</t>
        </is>
      </c>
      <c r="O1484"/>
    </row>
    <row r="1485" ht="12.75" customHeight="1">
      <c r="A1485" t="inlineStr">
        <is>
          <t>DJI เปิดตัวโดรนขนส่งที่ล้ำหน้าที่สุด</t>
        </is>
      </c>
      <c r="B1485" t="inlineStr">
        <is>
          <t>Saktaphat Kordjan</t>
        </is>
      </c>
      <c r="C1485" s="2">
        <v>45839</v>
      </c>
      <c r="D1485" s="2"/>
      <c r="E1485" t="inlineStr">
        <is>
          <t>ปกติ</t>
        </is>
      </c>
      <c r="F1485" s="3"/>
      <c r="G1485"/>
      <c r="H1485" t="inlineStr">
        <is>
          <t>Website</t>
        </is>
      </c>
      <c r="I1485" t="inlineStr">
        <is>
          <t>งานประจำวัน</t>
        </is>
      </c>
      <c r="J1485" t="inlineStr">
        <is>
          <t>Done</t>
        </is>
      </c>
      <c r="K1485"/>
      <c r="L1485" s="3"/>
      <c r="M1485" t="inlineStr">
        <is>
          <t>1</t>
        </is>
      </c>
      <c r="N1485" t="inlineStr">
        <is>
          <t>Tech</t>
        </is>
      </c>
      <c r="O1485"/>
    </row>
    <row r="1486" ht="12.75" customHeight="1">
      <c r="A1486" t="inlineStr">
        <is>
          <t xml:space="preserve">สมาร์ตโฟนรุ่นแรก และรุ่นปัจจุบันของพนักงาน iMoD </t>
        </is>
      </c>
      <c r="B1486" t="inlineStr">
        <is>
          <t>Saktaphat Kordjan</t>
        </is>
      </c>
      <c r="C1486" s="2">
        <v>45839</v>
      </c>
      <c r="D1486" s="2"/>
      <c r="E1486" t="inlineStr">
        <is>
          <t>ปกติ</t>
        </is>
      </c>
      <c r="F1486" s="3"/>
      <c r="G1486"/>
      <c r="H1486" t="inlineStr">
        <is>
          <t>Website</t>
        </is>
      </c>
      <c r="I1486" t="inlineStr">
        <is>
          <t>เสนอไอเดีย</t>
        </is>
      </c>
      <c r="J1486" t="inlineStr">
        <is>
          <t>Done</t>
        </is>
      </c>
      <c r="K1486"/>
      <c r="L1486" s="3"/>
      <c r="M1486" t="inlineStr">
        <is>
          <t>1</t>
        </is>
      </c>
      <c r="N1486" t="inlineStr">
        <is>
          <t>ทั่วไป</t>
        </is>
      </c>
      <c r="O1486"/>
    </row>
    <row r="1487" ht="12.75" customHeight="1">
      <c r="A1487" t="inlineStr">
        <is>
          <t>Apple Music ฉลอง 10</t>
        </is>
      </c>
      <c r="B1487" t="inlineStr">
        <is>
          <t>Sasithakan Sritonthip</t>
        </is>
      </c>
      <c r="C1487" s="2">
        <v>45839</v>
      </c>
      <c r="D1487" s="2"/>
      <c r="E1487" t="inlineStr">
        <is>
          <t>ปกติ</t>
        </is>
      </c>
      <c r="F1487" s="3"/>
      <c r="G1487"/>
      <c r="H1487" t="inlineStr">
        <is>
          <t>Website</t>
        </is>
      </c>
      <c r="I1487" t="inlineStr">
        <is>
          <t>งานลูกค้า</t>
        </is>
      </c>
      <c r="J1487" t="inlineStr">
        <is>
          <t>Done</t>
        </is>
      </c>
      <c r="K1487"/>
      <c r="L1487" s="3"/>
      <c r="M1487" t="inlineStr">
        <is>
          <t>1</t>
        </is>
      </c>
      <c r="N1487" t="inlineStr">
        <is>
          <t>Apple, PR</t>
        </is>
      </c>
      <c r="O1487"/>
    </row>
    <row r="1488" ht="12.75" customHeight="1">
      <c r="A1488" t="inlineStr">
        <is>
          <t>วิธีลงทะเบียนโครงการ “เที่ยวไทยคนละครึ่ง” สำหรับประชาชนทั่วไป</t>
        </is>
      </c>
      <c r="B1488" t="inlineStr">
        <is>
          <t>Sasithakan Sritonthip</t>
        </is>
      </c>
      <c r="C1488" s="2">
        <v>45839</v>
      </c>
      <c r="D1488" s="2"/>
      <c r="E1488" t="inlineStr">
        <is>
          <t>ด่วน!</t>
        </is>
      </c>
      <c r="F1488" s="3"/>
      <c r="G1488"/>
      <c r="H1488" t="inlineStr">
        <is>
          <t>Website</t>
        </is>
      </c>
      <c r="I1488" t="inlineStr">
        <is>
          <t>งานประจำวัน</t>
        </is>
      </c>
      <c r="J1488" t="inlineStr">
        <is>
          <t>Done</t>
        </is>
      </c>
      <c r="K1488"/>
      <c r="L1488" s="3"/>
      <c r="M1488" t="inlineStr">
        <is>
          <t>1</t>
        </is>
      </c>
      <c r="N1488" t="inlineStr">
        <is>
          <t>ทั่วไป</t>
        </is>
      </c>
      <c r="O1488"/>
    </row>
    <row r="1489" ht="12.75" customHeight="1">
      <c r="A1489" t="inlineStr">
        <is>
          <t>วิธีลงทะเบียนโครงการ “เที่ยวไทยคนละครึ่ง” สำหรับประชาชนทั่วไป</t>
        </is>
      </c>
      <c r="B1489" t="inlineStr">
        <is>
          <t>Nattida Suriyodara,Sasithakan Sritonthip</t>
        </is>
      </c>
      <c r="C1489" s="2">
        <v>45839</v>
      </c>
      <c r="D1489" s="2"/>
      <c r="E1489" t="inlineStr">
        <is>
          <t>ด่วน!</t>
        </is>
      </c>
      <c r="F1489" s="3"/>
      <c r="G1489"/>
      <c r="H1489" t="inlineStr">
        <is>
          <t>Shorts</t>
        </is>
      </c>
      <c r="I1489" t="inlineStr">
        <is>
          <t>งานประจำวัน</t>
        </is>
      </c>
      <c r="J1489" t="inlineStr">
        <is>
          <t>Done</t>
        </is>
      </c>
      <c r="K1489"/>
      <c r="L1489" s="3"/>
      <c r="M1489" t="inlineStr">
        <is>
          <t>1</t>
        </is>
      </c>
      <c r="N1489" t="inlineStr">
        <is>
          <t>ทั่วไป</t>
        </is>
      </c>
      <c r="O1489"/>
    </row>
    <row r="1490" ht="12.75" customHeight="1">
      <c r="A1490" t="inlineStr">
        <is>
          <t>Spacely AI ตกแต่งบ้าน</t>
        </is>
      </c>
      <c r="B1490" t="inlineStr">
        <is>
          <t>Nattida Suriyodara</t>
        </is>
      </c>
      <c r="C1490" s="2">
        <v>45838</v>
      </c>
      <c r="D1490" s="2"/>
      <c r="E1490" t="inlineStr">
        <is>
          <t>ปกติ</t>
        </is>
      </c>
      <c r="F1490" s="3"/>
      <c r="G1490"/>
      <c r="H1490" t="inlineStr">
        <is>
          <t>Shorts</t>
        </is>
      </c>
      <c r="I1490" t="inlineStr">
        <is>
          <t>งานประจำวัน, เสนอไอเดีย</t>
        </is>
      </c>
      <c r="J1490" t="inlineStr">
        <is>
          <t>Done</t>
        </is>
      </c>
      <c r="K1490"/>
      <c r="L1490" s="3"/>
      <c r="M1490" t="inlineStr">
        <is>
          <t>1</t>
        </is>
      </c>
      <c r="N1490" t="inlineStr">
        <is>
          <t>AI</t>
        </is>
      </c>
      <c r="O1490"/>
    </row>
    <row r="1491" ht="12.75" customHeight="1">
      <c r="A1491" t="inlineStr">
        <is>
          <t>เปิดตัว แว่นตา AI ของ Xiaomi พร้อมหูฟัง OpenWear Stereo Pro</t>
        </is>
      </c>
      <c r="B1491" t="inlineStr">
        <is>
          <t>Saktaphat Kordjan</t>
        </is>
      </c>
      <c r="C1491" s="2">
        <v>45838</v>
      </c>
      <c r="D1491" s="2"/>
      <c r="E1491" t="inlineStr">
        <is>
          <t>ปกติ</t>
        </is>
      </c>
      <c r="F1491" s="3"/>
      <c r="G1491"/>
      <c r="H1491" t="inlineStr">
        <is>
          <t>Website</t>
        </is>
      </c>
      <c r="I1491" t="inlineStr">
        <is>
          <t>งานประจำวัน</t>
        </is>
      </c>
      <c r="J1491" t="inlineStr">
        <is>
          <t>Done</t>
        </is>
      </c>
      <c r="K1491"/>
      <c r="L1491" s="3"/>
      <c r="M1491" t="inlineStr">
        <is>
          <t>1</t>
        </is>
      </c>
      <c r="N1491" t="inlineStr">
        <is>
          <t>Tech</t>
        </is>
      </c>
      <c r="O1491"/>
    </row>
    <row r="1492" ht="12.75" customHeight="1">
      <c r="A1492" t="inlineStr">
        <is>
          <t>Google ปล่อยฟีเจอร์ใหม่ “Mark as read” บน Gmail</t>
        </is>
      </c>
      <c r="B1492" t="inlineStr">
        <is>
          <t>Saktaphat Kordjan</t>
        </is>
      </c>
      <c r="C1492" s="2">
        <v>45838</v>
      </c>
      <c r="D1492" s="2"/>
      <c r="E1492" t="inlineStr">
        <is>
          <t>ปกติ</t>
        </is>
      </c>
      <c r="F1492" s="3"/>
      <c r="G1492"/>
      <c r="H1492" t="inlineStr">
        <is>
          <t>Website</t>
        </is>
      </c>
      <c r="I1492" t="inlineStr">
        <is>
          <t>งานประจำวัน</t>
        </is>
      </c>
      <c r="J1492" t="inlineStr">
        <is>
          <t>Done</t>
        </is>
      </c>
      <c r="K1492"/>
      <c r="L1492" s="3"/>
      <c r="M1492" t="inlineStr">
        <is>
          <t>1</t>
        </is>
      </c>
      <c r="N1492" t="inlineStr">
        <is>
          <t>Android</t>
        </is>
      </c>
      <c r="O1492"/>
    </row>
    <row r="1493" ht="12.75" customHeight="1">
      <c r="A1493" t="inlineStr">
        <is>
          <t>Vivo X200 FE เตรียมเปิดตัวในอินเดีย</t>
        </is>
      </c>
      <c r="B1493" t="inlineStr">
        <is>
          <t>Saktaphat Kordjan</t>
        </is>
      </c>
      <c r="C1493" s="2">
        <v>45838</v>
      </c>
      <c r="D1493" s="2"/>
      <c r="E1493" t="inlineStr">
        <is>
          <t>ปกติ</t>
        </is>
      </c>
      <c r="F1493" s="3"/>
      <c r="G1493"/>
      <c r="H1493" t="inlineStr">
        <is>
          <t>Website</t>
        </is>
      </c>
      <c r="I1493" t="inlineStr">
        <is>
          <t>งานประจำวัน</t>
        </is>
      </c>
      <c r="J1493" t="inlineStr">
        <is>
          <t>Done</t>
        </is>
      </c>
      <c r="K1493"/>
      <c r="L1493" s="3"/>
      <c r="M1493" t="inlineStr">
        <is>
          <t>1</t>
        </is>
      </c>
      <c r="N1493" t="inlineStr">
        <is>
          <t>Android</t>
        </is>
      </c>
      <c r="O1493"/>
    </row>
    <row r="1494" ht="12.75" customHeight="1">
      <c r="A1494" t="inlineStr">
        <is>
          <t>เตรียมความพร้อมก่อนลงทะเบียน "เที่ยวไทย คนละครึ่ง"</t>
        </is>
      </c>
      <c r="B1494" t="inlineStr">
        <is>
          <t>Nattida Suriyodara,Sasithakan Sritonthip</t>
        </is>
      </c>
      <c r="C1494" s="2">
        <v>45838</v>
      </c>
      <c r="D1494" s="2"/>
      <c r="E1494" t="inlineStr">
        <is>
          <t>ปกติ</t>
        </is>
      </c>
      <c r="F1494" s="3"/>
      <c r="G1494"/>
      <c r="H1494" t="inlineStr">
        <is>
          <t>Shorts</t>
        </is>
      </c>
      <c r="I1494" t="inlineStr">
        <is>
          <t>งานประจำวัน</t>
        </is>
      </c>
      <c r="J1494" t="inlineStr">
        <is>
          <t>Done</t>
        </is>
      </c>
      <c r="K1494"/>
      <c r="L1494" s="3"/>
      <c r="M1494" t="inlineStr">
        <is>
          <t>1</t>
        </is>
      </c>
      <c r="N1494" t="inlineStr">
        <is>
          <t>ทั่วไป</t>
        </is>
      </c>
      <c r="O1494"/>
    </row>
    <row r="1495" ht="12.75" customHeight="1">
      <c r="A1495" t="inlineStr">
        <is>
          <t>เตรียมความพร้อมก่อนลงทะเบียน "เที่ยวไทยคนละครึ่ง"</t>
        </is>
      </c>
      <c r="B1495" t="inlineStr">
        <is>
          <t>Nattida Suriyodara</t>
        </is>
      </c>
      <c r="C1495" s="2">
        <v>45838</v>
      </c>
      <c r="D1495" s="2"/>
      <c r="E1495" t="inlineStr">
        <is>
          <t>ปกติ</t>
        </is>
      </c>
      <c r="F1495" s="3"/>
      <c r="G1495"/>
      <c r="H1495" t="inlineStr">
        <is>
          <t>Website</t>
        </is>
      </c>
      <c r="I1495" t="inlineStr">
        <is>
          <t>งานประจำวัน</t>
        </is>
      </c>
      <c r="J1495" t="inlineStr">
        <is>
          <t>Done</t>
        </is>
      </c>
      <c r="K1495"/>
      <c r="L1495" s="3" t="str">
        <f>=HYPERLINK("https://www.iphonemod.net/travel-thai-project-2025.html", "https://www.iphonemod.net/travel-thai-project-2025.html")</f>
        <v>https://www.iphonemod.net/travel-thai-project-2025.html</v>
      </c>
      <c r="M1495" t="inlineStr">
        <is>
          <t>1</t>
        </is>
      </c>
      <c r="N1495" t="inlineStr">
        <is>
          <t>ทั่วไป</t>
        </is>
      </c>
      <c r="O1495"/>
    </row>
    <row r="1496" ht="12.75" customHeight="1">
      <c r="A1496" t="inlineStr">
        <is>
          <t>เผยฟีเจอร์ OnePlus Watch 3 รุ่น 43 มม. ก่อนเปิดตัว 8 ก.ค.</t>
        </is>
      </c>
      <c r="B1496" t="inlineStr">
        <is>
          <t>Saktaphat Kordjan</t>
        </is>
      </c>
      <c r="C1496" s="2">
        <v>45838</v>
      </c>
      <c r="D1496" s="2"/>
      <c r="E1496" t="inlineStr">
        <is>
          <t>ปกติ</t>
        </is>
      </c>
      <c r="F1496" s="3"/>
      <c r="G1496"/>
      <c r="H1496" t="inlineStr">
        <is>
          <t>Website</t>
        </is>
      </c>
      <c r="I1496" t="inlineStr">
        <is>
          <t>งานประจำวัน</t>
        </is>
      </c>
      <c r="J1496" t="inlineStr">
        <is>
          <t>Done</t>
        </is>
      </c>
      <c r="K1496"/>
      <c r="L1496" s="3"/>
      <c r="M1496" t="inlineStr">
        <is>
          <t>1</t>
        </is>
      </c>
      <c r="N1496" t="inlineStr">
        <is>
          <t>Android</t>
        </is>
      </c>
      <c r="O1496"/>
    </row>
    <row r="1497" ht="12.75" customHeight="1">
      <c r="A1497" t="inlineStr">
        <is>
          <t>วิธีลงทะเบียน"เที่ยวไทยคนละครึ่ง"</t>
        </is>
      </c>
      <c r="B1497" t="inlineStr">
        <is>
          <t>Nattida Suriyodara</t>
        </is>
      </c>
      <c r="C1497" s="2">
        <v>45838</v>
      </c>
      <c r="D1497" s="2"/>
      <c r="E1497" t="inlineStr">
        <is>
          <t>ด่วน!</t>
        </is>
      </c>
      <c r="F1497" s="3"/>
      <c r="G1497"/>
      <c r="H1497" t="inlineStr">
        <is>
          <t>YouTube</t>
        </is>
      </c>
      <c r="I1497" t="inlineStr">
        <is>
          <t>งานประจำวัน</t>
        </is>
      </c>
      <c r="J1497" t="inlineStr">
        <is>
          <t>Done</t>
        </is>
      </c>
      <c r="K1497" t="inlineStr">
        <is>
          <t>- สิทธิพิเศษที่จะได้รับ
- เกณฑ์/สิ่งที่ต้องเรียม
- ระยะเวลาโครงการ
- เริ่มใช้สิทธิ์ได้วันไหน</t>
        </is>
      </c>
      <c r="L1497" s="3"/>
      <c r="M1497" t="inlineStr">
        <is>
          <t>1</t>
        </is>
      </c>
      <c r="N1497" t="inlineStr">
        <is>
          <t>ทั่วไป</t>
        </is>
      </c>
      <c r="O1497"/>
    </row>
    <row r="1498" ht="12.75" customHeight="1">
      <c r="A1498" t="inlineStr">
        <is>
          <t>Spacely.ai ตกแต่งห้องในฝัน</t>
        </is>
      </c>
      <c r="B1498" t="inlineStr">
        <is>
          <t>Nattida Suriyodara</t>
        </is>
      </c>
      <c r="C1498" s="2">
        <v>45835</v>
      </c>
      <c r="D1498" s="2"/>
      <c r="E1498" t="inlineStr">
        <is>
          <t>ปกติ</t>
        </is>
      </c>
      <c r="F1498" s="3" t="str">
        <f>=HYPERLINK("https://www.iphonemod.net/spacely-ai-decorate-house-and-room.html", "https://www.iphonemod.net/spacely-ai-decorate-house-and-room.html")</f>
        <v>https://www.iphonemod.net/spacely-ai-decorate-house-and-room.html</v>
      </c>
      <c r="G1498"/>
      <c r="H1498" t="inlineStr">
        <is>
          <t>Website</t>
        </is>
      </c>
      <c r="I1498" t="inlineStr">
        <is>
          <t>งานประจำวัน</t>
        </is>
      </c>
      <c r="J1498" t="inlineStr">
        <is>
          <t>Done</t>
        </is>
      </c>
      <c r="K1498"/>
      <c r="L1498" s="3"/>
      <c r="M1498" t="inlineStr">
        <is>
          <t>1</t>
        </is>
      </c>
      <c r="N1498" t="inlineStr">
        <is>
          <t>AI</t>
        </is>
      </c>
      <c r="O1498"/>
    </row>
    <row r="1499" ht="12.75" customHeight="1">
      <c r="A1499" t="inlineStr">
        <is>
          <t>Amazfit Active 2 SQ</t>
        </is>
      </c>
      <c r="B1499" t="inlineStr">
        <is>
          <t>Nattida Suriyodara</t>
        </is>
      </c>
      <c r="C1499" s="2">
        <v>45835</v>
      </c>
      <c r="D1499" s="2"/>
      <c r="E1499" t="inlineStr">
        <is>
          <t>ปกติ</t>
        </is>
      </c>
      <c r="F1499" s="3"/>
      <c r="G1499" t="inlineStr">
        <is>
          <t>ภาพถ่ายหน้าจอ 2568-06-27 เวลา 13.43.10.png</t>
        </is>
      </c>
      <c r="H1499" t="inlineStr">
        <is>
          <t>Shorts</t>
        </is>
      </c>
      <c r="I1499" t="inlineStr">
        <is>
          <t>งานลูกค้า</t>
        </is>
      </c>
      <c r="J1499" t="inlineStr">
        <is>
          <t>Done</t>
        </is>
      </c>
      <c r="K1499"/>
      <c r="L1499" s="3"/>
      <c r="M1499" t="inlineStr">
        <is>
          <t>1</t>
        </is>
      </c>
      <c r="N1499" t="inlineStr">
        <is>
          <t>ทั่วไป</t>
        </is>
      </c>
      <c r="O1499"/>
    </row>
    <row r="1500" ht="12.75" customHeight="1">
      <c r="A1500" t="inlineStr">
        <is>
          <t>Vivo X Fold5 รองรับการเชื่อมต่อกับ Apple Watch</t>
        </is>
      </c>
      <c r="B1500" t="inlineStr">
        <is>
          <t>Saktaphat Kordjan</t>
        </is>
      </c>
      <c r="C1500" s="2">
        <v>45835</v>
      </c>
      <c r="D1500" s="2"/>
      <c r="E1500" t="inlineStr">
        <is>
          <t>ปกติ</t>
        </is>
      </c>
      <c r="F1500" s="3"/>
      <c r="G1500"/>
      <c r="H1500" t="inlineStr">
        <is>
          <t>Website</t>
        </is>
      </c>
      <c r="I1500" t="inlineStr">
        <is>
          <t>งานประจำวัน</t>
        </is>
      </c>
      <c r="J1500" t="inlineStr">
        <is>
          <t>Done</t>
        </is>
      </c>
      <c r="K1500"/>
      <c r="L1500" s="3"/>
      <c r="M1500" t="inlineStr">
        <is>
          <t>1</t>
        </is>
      </c>
      <c r="N1500" t="inlineStr">
        <is>
          <t>Android</t>
        </is>
      </c>
      <c r="O1500"/>
    </row>
    <row r="1501" ht="12.75" customHeight="1">
      <c r="A1501" t="inlineStr">
        <is>
          <t>เผยภาพตัวอย่างที่ถ่ายจาก Nothing Phone 3</t>
        </is>
      </c>
      <c r="B1501" t="inlineStr">
        <is>
          <t>Saktaphat Kordjan</t>
        </is>
      </c>
      <c r="C1501" s="2">
        <v>45835</v>
      </c>
      <c r="D1501" s="2"/>
      <c r="E1501" t="inlineStr">
        <is>
          <t>ปกติ</t>
        </is>
      </c>
      <c r="F1501" s="3"/>
      <c r="G1501"/>
      <c r="H1501" t="inlineStr">
        <is>
          <t>Website</t>
        </is>
      </c>
      <c r="I1501" t="inlineStr">
        <is>
          <t>งานประจำวัน</t>
        </is>
      </c>
      <c r="J1501" t="inlineStr">
        <is>
          <t>Done</t>
        </is>
      </c>
      <c r="K1501"/>
      <c r="L1501" s="3"/>
      <c r="M1501" t="inlineStr">
        <is>
          <t>1</t>
        </is>
      </c>
      <c r="N1501" t="inlineStr">
        <is>
          <t>Android</t>
        </is>
      </c>
      <c r="O1501"/>
    </row>
    <row r="1502" ht="12.75" customHeight="1">
      <c r="A1502" t="inlineStr">
        <is>
          <t>SAMSUNG รุ่นกลางกับท็อปต่างกันมากไหม ตัวไหนคุ้มกว่า</t>
        </is>
      </c>
      <c r="B1502" t="inlineStr">
        <is>
          <t>Saktaphat Kordjan</t>
        </is>
      </c>
      <c r="C1502" s="2">
        <v>45835</v>
      </c>
      <c r="D1502" s="2"/>
      <c r="E1502" t="inlineStr">
        <is>
          <t>ปกติ</t>
        </is>
      </c>
      <c r="F1502" s="3"/>
      <c r="G1502"/>
      <c r="H1502" t="inlineStr">
        <is>
          <t>YouTube</t>
        </is>
      </c>
      <c r="I1502" t="inlineStr">
        <is>
          <t>เสนอไอเดีย</t>
        </is>
      </c>
      <c r="J1502" t="inlineStr">
        <is>
          <t>Done</t>
        </is>
      </c>
      <c r="K1502"/>
      <c r="L1502" s="3"/>
      <c r="M1502" t="inlineStr">
        <is>
          <t>1</t>
        </is>
      </c>
      <c r="N1502" t="inlineStr">
        <is>
          <t>Android</t>
        </is>
      </c>
      <c r="O1502"/>
    </row>
    <row r="1503" ht="12.75" customHeight="1">
      <c r="A1503" t="inlineStr">
        <is>
          <t>ภาพเรนเดอร์ Nothing Phone 3 เผยดีไซน์สีดำและสีขาว</t>
        </is>
      </c>
      <c r="B1503" t="inlineStr">
        <is>
          <t>Saktaphat Kordjan</t>
        </is>
      </c>
      <c r="C1503" s="2">
        <v>45835</v>
      </c>
      <c r="D1503" s="2"/>
      <c r="E1503" t="inlineStr">
        <is>
          <t>ปกติ</t>
        </is>
      </c>
      <c r="F1503" s="3"/>
      <c r="G1503"/>
      <c r="H1503" t="inlineStr">
        <is>
          <t>Website</t>
        </is>
      </c>
      <c r="I1503" t="inlineStr">
        <is>
          <t>งานประจำวัน</t>
        </is>
      </c>
      <c r="J1503" t="inlineStr">
        <is>
          <t>Done</t>
        </is>
      </c>
      <c r="K1503"/>
      <c r="L1503" s="3"/>
      <c r="M1503" t="inlineStr">
        <is>
          <t>1</t>
        </is>
      </c>
      <c r="N1503" t="inlineStr">
        <is>
          <t>Android</t>
        </is>
      </c>
      <c r="O1503"/>
    </row>
    <row r="1504" ht="12.75" customHeight="1">
      <c r="A1504" t="inlineStr">
        <is>
          <t>แนะนำแอป Project Indigo</t>
        </is>
      </c>
      <c r="B1504" t="inlineStr">
        <is>
          <t>Sasithakan Sritonthip</t>
        </is>
      </c>
      <c r="C1504" s="2">
        <v>45834</v>
      </c>
      <c r="D1504" s="2"/>
      <c r="E1504" t="inlineStr">
        <is>
          <t>ปกติ</t>
        </is>
      </c>
      <c r="F1504" s="3"/>
      <c r="G1504"/>
      <c r="H1504" t="inlineStr">
        <is>
          <t>Website</t>
        </is>
      </c>
      <c r="I1504" t="inlineStr">
        <is>
          <t>งานประจำวัน</t>
        </is>
      </c>
      <c r="J1504" t="inlineStr">
        <is>
          <t>Done</t>
        </is>
      </c>
      <c r="K1504"/>
      <c r="L1504" s="3"/>
      <c r="M1504" t="inlineStr">
        <is>
          <t>1</t>
        </is>
      </c>
      <c r="N1504" t="inlineStr">
        <is>
          <t>Tech</t>
        </is>
      </c>
      <c r="O1504"/>
    </row>
    <row r="1505" ht="12.75" customHeight="1">
      <c r="A1505" t="inlineStr">
        <is>
          <t>ChatGPT สร้างภาพ Mock up</t>
        </is>
      </c>
      <c r="B1505" t="inlineStr">
        <is>
          <t>Nattida Suriyodara,Sasithakan Sritonthip</t>
        </is>
      </c>
      <c r="C1505" s="2">
        <v>45834</v>
      </c>
      <c r="D1505" s="2"/>
      <c r="E1505" t="inlineStr">
        <is>
          <t>ปกติ</t>
        </is>
      </c>
      <c r="F1505" s="3"/>
      <c r="G1505"/>
      <c r="H1505" t="inlineStr">
        <is>
          <t>Shorts</t>
        </is>
      </c>
      <c r="I1505" t="inlineStr">
        <is>
          <t>งานประจำวัน</t>
        </is>
      </c>
      <c r="J1505" t="inlineStr">
        <is>
          <t>Done</t>
        </is>
      </c>
      <c r="K1505" t="inlineStr">
        <is>
          <t>เล่าว่าทำยังไง
ใช้ยังไง</t>
        </is>
      </c>
      <c r="L1505" s="3"/>
      <c r="M1505" t="inlineStr">
        <is>
          <t>1</t>
        </is>
      </c>
      <c r="N1505" t="inlineStr">
        <is>
          <t>AI</t>
        </is>
      </c>
      <c r="O1505"/>
    </row>
    <row r="1506" ht="12.75" customHeight="1">
      <c r="A1506" t="inlineStr">
        <is>
          <t>สร้างภาพ Mock up สินค้า ด้วย Chat GPT</t>
        </is>
      </c>
      <c r="B1506" t="inlineStr">
        <is>
          <t>Nattida Suriyodara</t>
        </is>
      </c>
      <c r="C1506" s="2">
        <v>45834</v>
      </c>
      <c r="D1506" s="2"/>
      <c r="E1506" t="inlineStr">
        <is>
          <t>ปกติ</t>
        </is>
      </c>
      <c r="F1506" s="3"/>
      <c r="G1506"/>
      <c r="H1506" t="inlineStr">
        <is>
          <t>Website</t>
        </is>
      </c>
      <c r="I1506" t="inlineStr">
        <is>
          <t>งานประจำวัน</t>
        </is>
      </c>
      <c r="J1506" t="inlineStr">
        <is>
          <t>Done</t>
        </is>
      </c>
      <c r="K1506"/>
      <c r="L1506" s="3"/>
      <c r="M1506" t="inlineStr">
        <is>
          <t>1</t>
        </is>
      </c>
      <c r="N1506" t="inlineStr">
        <is>
          <t>AI</t>
        </is>
      </c>
      <c r="O1506"/>
    </row>
    <row r="1507" ht="12.75" customHeight="1">
      <c r="A1507" t="inlineStr">
        <is>
          <t>Indigo ถ่ายรูปอย่างสวย!</t>
        </is>
      </c>
      <c r="B1507" t="inlineStr">
        <is>
          <t>Nattida Suriyodara,Sasithakan Sritonthip</t>
        </is>
      </c>
      <c r="C1507" s="2">
        <v>45834</v>
      </c>
      <c r="D1507" s="2"/>
      <c r="E1507" t="inlineStr">
        <is>
          <t>ปกติ</t>
        </is>
      </c>
      <c r="F1507" s="3"/>
      <c r="G1507"/>
      <c r="H1507" t="inlineStr">
        <is>
          <t>Shorts</t>
        </is>
      </c>
      <c r="I1507" t="inlineStr">
        <is>
          <t>งานประจำวัน</t>
        </is>
      </c>
      <c r="J1507" t="inlineStr">
        <is>
          <t>Done</t>
        </is>
      </c>
      <c r="K1507" t="inlineStr">
        <is>
          <t>ภาพสวย คมชัด
ปรับโทนภาพให้เข้ากับสภาพแวดล้อม
ลดนอยส์ ภาพไม่หลอน
ถ่ายที่มืดออกมาชัด 
ระยะซูมภาพ
โหลดฟรี ใช้ฟรี ไม่ต้องผูกบัญชี</t>
        </is>
      </c>
      <c r="L1507" s="3"/>
      <c r="M1507" t="inlineStr">
        <is>
          <t>1</t>
        </is>
      </c>
      <c r="N1507" t="inlineStr">
        <is>
          <t>ทั่วไป</t>
        </is>
      </c>
      <c r="O1507"/>
    </row>
    <row r="1508" ht="12.75" customHeight="1">
      <c r="A1508" t="inlineStr">
        <is>
          <t>Vivo X Fold5  มีแบตใหญ่สุดในมือถือจอพับ</t>
        </is>
      </c>
      <c r="B1508" t="inlineStr">
        <is>
          <t>Saktaphat Kordjan</t>
        </is>
      </c>
      <c r="C1508" s="2">
        <v>45834</v>
      </c>
      <c r="D1508" s="2"/>
      <c r="E1508" t="inlineStr">
        <is>
          <t>ปกติ</t>
        </is>
      </c>
      <c r="F1508" s="3"/>
      <c r="G1508"/>
      <c r="H1508" t="inlineStr">
        <is>
          <t>Website, Shorts</t>
        </is>
      </c>
      <c r="I1508" t="inlineStr">
        <is>
          <t>งานประจำวัน</t>
        </is>
      </c>
      <c r="J1508" t="inlineStr">
        <is>
          <t>Done</t>
        </is>
      </c>
      <c r="K1508"/>
      <c r="L1508" s="3"/>
      <c r="M1508" t="inlineStr">
        <is>
          <t>1</t>
        </is>
      </c>
      <c r="N1508" t="inlineStr">
        <is>
          <t>Android</t>
        </is>
      </c>
      <c r="O1508"/>
    </row>
    <row r="1509" ht="12.75" customHeight="1">
      <c r="A1509" t="inlineStr">
        <is>
          <t xml:space="preserve">SAMSUNG NOTES &amp; S PEN </t>
        </is>
      </c>
      <c r="B1509" t="inlineStr">
        <is>
          <t>Saktaphat Kordjan</t>
        </is>
      </c>
      <c r="C1509" s="2">
        <v>45834</v>
      </c>
      <c r="D1509" s="2"/>
      <c r="E1509" t="inlineStr">
        <is>
          <t>ปกติ</t>
        </is>
      </c>
      <c r="F1509" s="3"/>
      <c r="G1509"/>
      <c r="H1509" t="inlineStr">
        <is>
          <t>YouTube</t>
        </is>
      </c>
      <c r="I1509" t="inlineStr">
        <is>
          <t>เสนอไอเดีย</t>
        </is>
      </c>
      <c r="J1509" t="inlineStr">
        <is>
          <t>Done</t>
        </is>
      </c>
      <c r="K1509"/>
      <c r="L1509" s="3"/>
      <c r="M1509" t="inlineStr">
        <is>
          <t>1</t>
        </is>
      </c>
      <c r="N1509" t="inlineStr">
        <is>
          <t>Android</t>
        </is>
      </c>
      <c r="O1509"/>
    </row>
    <row r="1510" ht="12.75" customHeight="1">
      <c r="A1510" t="inlineStr">
        <is>
          <t>ประสบการแปลกใหม่
จากมือถือจอพับ</t>
        </is>
      </c>
      <c r="B1510" t="inlineStr">
        <is>
          <t>Saktaphat Kordjan</t>
        </is>
      </c>
      <c r="C1510" s="2">
        <v>45834</v>
      </c>
      <c r="D1510" s="2"/>
      <c r="E1510" t="inlineStr">
        <is>
          <t>ปกติ</t>
        </is>
      </c>
      <c r="F1510" s="3"/>
      <c r="G1510"/>
      <c r="H1510" t="inlineStr">
        <is>
          <t>Shorts</t>
        </is>
      </c>
      <c r="I1510" t="inlineStr">
        <is>
          <t>เสนอไอเดีย</t>
        </is>
      </c>
      <c r="J1510" t="inlineStr">
        <is>
          <t>Done</t>
        </is>
      </c>
      <c r="K1510"/>
      <c r="L1510" s="3"/>
      <c r="M1510" t="inlineStr">
        <is>
          <t>1</t>
        </is>
      </c>
      <c r="N1510" t="inlineStr">
        <is>
          <t>Android</t>
        </is>
      </c>
      <c r="O1510"/>
    </row>
    <row r="1511" ht="12.75" customHeight="1">
      <c r="A1511" t="inlineStr">
        <is>
          <t>BaNANA x Studio 7 ลดทลายคลัง มิ.ย. 2025</t>
        </is>
      </c>
      <c r="B1511" t="inlineStr">
        <is>
          <t>Thitirath Kinaret</t>
        </is>
      </c>
      <c r="C1511" s="2">
        <v>45834</v>
      </c>
      <c r="D1511" s="2">
        <v>45834</v>
      </c>
      <c r="E1511" t="inlineStr">
        <is>
          <t>ปกติ</t>
        </is>
      </c>
      <c r="F1511" s="3"/>
      <c r="G1511"/>
      <c r="H1511" t="inlineStr">
        <is>
          <t>Pic Posts / Album</t>
        </is>
      </c>
      <c r="I1511" t="inlineStr">
        <is>
          <t>งานลูกค้า</t>
        </is>
      </c>
      <c r="J1511" t="inlineStr">
        <is>
          <t>Done</t>
        </is>
      </c>
      <c r="K1511"/>
      <c r="L1511" s="3" t="str">
        <f>=HYPERLINK("https://www.facebook.com/iPhonemod/posts/pfbid09hNaqcA9Jy1PB2LmV6siSzjCSN7JLkqm8jCocvB8FUptT2PcegPBkQNjSPCdCoCol?__cft__[0]=AZW0f12MuEvrvCbM2eq23OOg4B3RDhEBtaxxfHZrYAN8plgBU7Nbmy1l_AKmKQKS1wAmQuPW7jnh9XzkYhUOdzdRVO60rtes0KZvXSfLLroAd4h0GqRYcql8i6pMOweacwSmbUTMvk9DWafV7D1cMKoUG_vTfmIQDXxOn4ph7kKgN8DZvl4yFp5pXPlAhFoH4bDwbZjA0c7uQAN_cRSt_caL&amp;__tn__=%2CO%2CP-R", "https://www.facebook.com/iPhonemod/posts/pfbid09hNaqcA9Jy1PB2LmV6siSzjCSN7JLkqm8jCocvB8FUptT2PcegPBkQNjSPCdCoCol?__cft__[0]=AZW0f12MuEvrvCbM2eq23OOg4B3RDhEBtaxxfHZrYAN8plgBU7Nbmy1l_AKmKQKS1wAmQuPW7jnh9XzkYhUOdzdRVO60rtes0KZvXSfLLroAd4h0GqRYcql8i6pMOweacwSmbUTMvk9DWafV7D1cMKoUG_vTfmIQDXxOn4ph7kKgN8DZvl4yFp5pXPlAhFoH4bDwbZjA0c7uQAN_cRSt_caL&amp;__tn__=%2CO%2CP-R")</f>
        <v>https://www.facebook.com/iPhonemod/posts/pfbid09hNaqcA9Jy1PB2LmV6siSzjCSN7JLkqm8jCocvB8FUptT2PcegPBkQNjSPCdCoCol?__cft__[0]=AZW0f12MuEvrvCbM2eq23OOg4B3RDhEBtaxxfHZrYAN8plgBU7Nbmy1l_AKmKQKS1wAmQuPW7jnh9XzkYhUOdzdRVO60rtes0KZvXSfLLroAd4h0GqRYcql8i6pMOweacwSmbUTMvk9DWafV7D1cMKoUG_vTfmIQDXxOn4ph7kKgN8DZvl4yFp5pXPlAhFoH4bDwbZjA0c7uQAN_cRSt_caL&amp;__tn__=%2CO%2CP-R</v>
      </c>
      <c r="M1511" t="inlineStr">
        <is>
          <t>1</t>
        </is>
      </c>
      <c r="N1511" t="inlineStr">
        <is>
          <t>ทั่วไป</t>
        </is>
      </c>
      <c r="O1511"/>
    </row>
    <row r="1512" ht="12.75" customHeight="1">
      <c r="A1512" t="inlineStr">
        <is>
          <t>Google เปิดแพ็กเกจ Google AI Pro แบบรายปี</t>
        </is>
      </c>
      <c r="B1512" t="inlineStr">
        <is>
          <t>Thitirath Kinaret</t>
        </is>
      </c>
      <c r="C1512" s="2">
        <v>45834</v>
      </c>
      <c r="D1512" s="2">
        <v>45834</v>
      </c>
      <c r="E1512" t="inlineStr">
        <is>
          <t>ปกติ</t>
        </is>
      </c>
      <c r="F1512" s="3"/>
      <c r="G1512"/>
      <c r="H1512" t="inlineStr">
        <is>
          <t>Pic Posts / Album</t>
        </is>
      </c>
      <c r="I1512" t="inlineStr">
        <is>
          <t>งานประจำวัน</t>
        </is>
      </c>
      <c r="J1512" t="inlineStr">
        <is>
          <t>Done</t>
        </is>
      </c>
      <c r="K1512"/>
      <c r="L1512" s="3" t="str">
        <f>=HYPERLINK("https://www.facebook.com/iPhonemod/posts/pfbid0Wt6VLb3NZRfkAPy66shqZDwFia8ajKV4NVZ4t9DjtdRpw9dLQvwF7VTcVMhASzQsl", "https://www.facebook.com/iPhonemod/posts/pfbid0Wt6VLb3NZRfkAPy66shqZDwFia8ajKV4NVZ4t9DjtdRpw9dLQvwF7VTcVMhASzQsl")</f>
        <v>https://www.facebook.com/iPhonemod/posts/pfbid0Wt6VLb3NZRfkAPy66shqZDwFia8ajKV4NVZ4t9DjtdRpw9dLQvwF7VTcVMhASzQsl</v>
      </c>
      <c r="M1512" t="inlineStr">
        <is>
          <t>1</t>
        </is>
      </c>
      <c r="N1512" t="inlineStr">
        <is>
          <t>Tech</t>
        </is>
      </c>
      <c r="O1512"/>
    </row>
    <row r="1513" ht="12.75" customHeight="1">
      <c r="A1513" t="inlineStr">
        <is>
          <t>Instagram เพิ่มฟีเจอร์ใหม่ ใส่สีสันในโน้ตได้แล้ว</t>
        </is>
      </c>
      <c r="B1513" t="inlineStr">
        <is>
          <t>Thitirath Kinaret</t>
        </is>
      </c>
      <c r="C1513" s="2">
        <v>45834</v>
      </c>
      <c r="D1513" s="2">
        <v>45834</v>
      </c>
      <c r="E1513" t="inlineStr">
        <is>
          <t>ปกติ</t>
        </is>
      </c>
      <c r="F1513" s="3"/>
      <c r="G1513"/>
      <c r="H1513" t="inlineStr">
        <is>
          <t>Pic Posts / Album</t>
        </is>
      </c>
      <c r="I1513" t="inlineStr">
        <is>
          <t>งานประจำวัน</t>
        </is>
      </c>
      <c r="J1513" t="inlineStr">
        <is>
          <t>Done</t>
        </is>
      </c>
      <c r="K1513"/>
      <c r="L1513" s="3" t="str">
        <f>=HYPERLINK("https://www.facebook.com/iPhonemod/posts/pfbid0Xi9Xmm8D3P6xU5QjLHwm8zHz2QyhEs47vQ6mwVwtYW9Yv1Q6aTHDkT9ucSp6ZyXYl?__cft__[0]=AZVd7P18_LlPlljoJab5k3qVTsIkX8I0vWYz9wRMtY2a6N1iXHc7DL9-7A86L-9YoVC0RRjS-yCw8jcy4RUJ64HYEANyeBsQ1JjCQ3_SNsHdzBlztSYbnbG-O7sWLZ2pFL8tFm-pTbcS00ttiZXH8RO9A95c1ScK2-RiHRhmZXW_2vasvkCQtf5BnJ2pymj_i3ySrojnDQTvt_e5RngdP4_i&amp;__tn__=%2CO%2CP-R", "https://www.facebook.com/iPhonemod/posts/pfbid0Xi9Xmm8D3P6xU5QjLHwm8zHz2QyhEs47vQ6mwVwtYW9Yv1Q6aTHDkT9ucSp6ZyXYl?__cft__[0]=AZVd7P18_LlPlljoJab5k3qVTsIkX8I0vWYz9wRMtY2a6N1iXHc7DL9-7A86L-9YoVC0RRjS-yCw8jcy4RUJ64HYEANyeBsQ1JjCQ3_SNsHdzBlztSYbnbG-O7sWLZ2pFL8tFm-pTbcS00ttiZXH8RO9A95c1ScK2-RiHRhmZXW_2vasvkCQtf5BnJ2pymj_i3ySrojnDQTvt_e5RngdP4_i&amp;__tn__=%2CO%2CP-R")</f>
        <v>https://www.facebook.com/iPhonemod/posts/pfbid0Xi9Xmm8D3P6xU5QjLHwm8zHz2QyhEs47vQ6mwVwtYW9Yv1Q6aTHDkT9ucSp6ZyXYl?__cft__[0]=AZVd7P18_LlPlljoJab5k3qVTsIkX8I0vWYz9wRMtY2a6N1iXHc7DL9-7A86L-9YoVC0RRjS-yCw8jcy4RUJ64HYEANyeBsQ1JjCQ3_SNsHdzBlztSYbnbG-O7sWLZ2pFL8tFm-pTbcS00ttiZXH8RO9A95c1ScK2-RiHRhmZXW_2vasvkCQtf5BnJ2pymj_i3ySrojnDQTvt_e5RngdP4_i&amp;__tn__=%2CO%2CP-R</v>
      </c>
      <c r="M1513" t="inlineStr">
        <is>
          <t>1</t>
        </is>
      </c>
      <c r="N1513" t="inlineStr">
        <is>
          <t>Tech</t>
        </is>
      </c>
      <c r="O1513"/>
    </row>
    <row r="1514" ht="12.75" customHeight="1">
      <c r="A1514" t="inlineStr">
        <is>
          <t>จอ OLED ของ iPad Pro ชิป M5 เริ่มผลิตแล้ว คาดเปิดตัว ต.ค. 2025</t>
        </is>
      </c>
      <c r="B1514" t="inlineStr">
        <is>
          <t>Thitirath Kinaret</t>
        </is>
      </c>
      <c r="C1514" s="2">
        <v>45834</v>
      </c>
      <c r="D1514" s="2">
        <v>45834</v>
      </c>
      <c r="E1514" t="inlineStr">
        <is>
          <t>ปกติ</t>
        </is>
      </c>
      <c r="F1514" s="3"/>
      <c r="G1514"/>
      <c r="H1514" t="inlineStr">
        <is>
          <t>Website</t>
        </is>
      </c>
      <c r="I1514" t="inlineStr">
        <is>
          <t>งานประจำวัน</t>
        </is>
      </c>
      <c r="J1514" t="inlineStr">
        <is>
          <t>Done</t>
        </is>
      </c>
      <c r="K1514"/>
      <c r="L1514" s="3" t="str">
        <f>=HYPERLINK("https://www.iphonemod.net/ipad-pro-m5-oled-display-mass-prioduction-report.html", "https://www.iphonemod.net/ipad-pro-m5-oled-display-mass-prioduction-report.html")</f>
        <v>https://www.iphonemod.net/ipad-pro-m5-oled-display-mass-prioduction-report.html</v>
      </c>
      <c r="M1514" t="inlineStr">
        <is>
          <t>1</t>
        </is>
      </c>
      <c r="N1514" t="inlineStr">
        <is>
          <t>Apple</t>
        </is>
      </c>
      <c r="O1514"/>
    </row>
    <row r="1515" ht="12.75" customHeight="1">
      <c r="A1515" t="inlineStr">
        <is>
          <t>แนะนำวิธีเปิดการยืนยันตัวตน 2 ชั้น เพิ่มความปลอดภัยให้บัญชี Facebook</t>
        </is>
      </c>
      <c r="B1515" t="inlineStr">
        <is>
          <t>Sasithakan Sritonthip,Saktaphat Kordjan</t>
        </is>
      </c>
      <c r="C1515" s="2">
        <v>45833</v>
      </c>
      <c r="D1515" s="2"/>
      <c r="E1515" t="inlineStr">
        <is>
          <t>ปกติ</t>
        </is>
      </c>
      <c r="F1515" s="3"/>
      <c r="G1515"/>
      <c r="H1515" t="inlineStr">
        <is>
          <t>Website, Shorts</t>
        </is>
      </c>
      <c r="I1515" t="inlineStr">
        <is>
          <t>เสนอไอเดีย</t>
        </is>
      </c>
      <c r="J1515" t="inlineStr">
        <is>
          <t>Done</t>
        </is>
      </c>
      <c r="K1515"/>
      <c r="L1515" s="3"/>
      <c r="M1515" t="inlineStr">
        <is>
          <t>1</t>
        </is>
      </c>
      <c r="N1515" t="inlineStr">
        <is>
          <t>ทั่วไป</t>
        </is>
      </c>
      <c r="O1515"/>
    </row>
    <row r="1516" ht="12.75" customHeight="1">
      <c r="A1516" t="inlineStr">
        <is>
          <t>แชร์ประสบการณ์โดนปิดเพจ แล้วแก้ไขยังไง?</t>
        </is>
      </c>
      <c r="B1516" t="inlineStr">
        <is>
          <t>Nattida Suriyodara</t>
        </is>
      </c>
      <c r="C1516" s="2">
        <v>45833</v>
      </c>
      <c r="D1516" s="2"/>
      <c r="E1516" t="inlineStr">
        <is>
          <t>ปกติ</t>
        </is>
      </c>
      <c r="F1516" s="3"/>
      <c r="G1516"/>
      <c r="H1516" t="inlineStr">
        <is>
          <t>Shorts</t>
        </is>
      </c>
      <c r="I1516" t="inlineStr">
        <is>
          <t>งานประจำวัน</t>
        </is>
      </c>
      <c r="J1516" t="inlineStr">
        <is>
          <t>Done</t>
        </is>
      </c>
      <c r="K1516" t="inlineStr">
        <is>
          <t>กิ๊ฟเล่าประสบการณ์จริง
- พูดถึงเหตุการณ์ที่หลายกลุ่ม/เพจ โดนปิด
- กิ๊ฟเจออะไร
- ทำแก้ยังไง
- ใช้เวลานานมั้ย
</t>
        </is>
      </c>
      <c r="L1516" s="3"/>
      <c r="M1516" t="inlineStr">
        <is>
          <t>1</t>
        </is>
      </c>
      <c r="N1516" t="inlineStr">
        <is>
          <t>PR</t>
        </is>
      </c>
      <c r="O1516"/>
    </row>
    <row r="1517" ht="12.75" customHeight="1">
      <c r="A1517" t="inlineStr">
        <is>
          <t>เผยดีไซน์และสเปค Xiaomi Mix Flip 2</t>
        </is>
      </c>
      <c r="B1517" t="inlineStr">
        <is>
          <t>Saktaphat Kordjan</t>
        </is>
      </c>
      <c r="C1517" s="2">
        <v>45833</v>
      </c>
      <c r="D1517" s="2"/>
      <c r="E1517" t="inlineStr">
        <is>
          <t>ปกติ</t>
        </is>
      </c>
      <c r="F1517" s="3" t="str">
        <f>=HYPERLINK("https://www.gsmarena.com/xiaomi_mix_flip_2_teasers_reveal_design_and_key_specs_-news-68371.php", "https://www.gsmarena.com/xiaomi_mix_flip_2_teasers_reveal_design_and_key_specs_-news-68371.php")</f>
        <v>https://www.gsmarena.com/xiaomi_mix_flip_2_teasers_reveal_design_and_key_specs_-news-68371.php</v>
      </c>
      <c r="G1517"/>
      <c r="H1517" t="inlineStr">
        <is>
          <t>Website</t>
        </is>
      </c>
      <c r="I1517" t="inlineStr">
        <is>
          <t>งานประจำวัน</t>
        </is>
      </c>
      <c r="J1517" t="inlineStr">
        <is>
          <t>Done</t>
        </is>
      </c>
      <c r="K1517"/>
      <c r="L1517" s="3"/>
      <c r="M1517" t="inlineStr">
        <is>
          <t>1</t>
        </is>
      </c>
      <c r="N1517" t="inlineStr">
        <is>
          <t>Android</t>
        </is>
      </c>
      <c r="O1517"/>
    </row>
    <row r="1518" ht="12.75" customHeight="1">
      <c r="A1518" t="inlineStr">
        <is>
          <t>Google อาจแซงหน้า Qualcomm ได้ด้วยชิป 2 นาโนเมตร</t>
        </is>
      </c>
      <c r="B1518" t="inlineStr">
        <is>
          <t>Saktaphat Kordjan</t>
        </is>
      </c>
      <c r="C1518" s="2">
        <v>45833</v>
      </c>
      <c r="D1518" s="2"/>
      <c r="E1518" t="inlineStr">
        <is>
          <t>ปกติ</t>
        </is>
      </c>
      <c r="F1518" s="3"/>
      <c r="G1518"/>
      <c r="H1518" t="inlineStr">
        <is>
          <t>Website</t>
        </is>
      </c>
      <c r="I1518" t="inlineStr">
        <is>
          <t>งานประจำวัน</t>
        </is>
      </c>
      <c r="J1518" t="inlineStr">
        <is>
          <t>Done</t>
        </is>
      </c>
      <c r="K1518"/>
      <c r="L1518" s="3"/>
      <c r="M1518" t="inlineStr">
        <is>
          <t>1</t>
        </is>
      </c>
      <c r="N1518" t="inlineStr">
        <is>
          <t>Tech</t>
        </is>
      </c>
      <c r="O1518"/>
    </row>
    <row r="1519" ht="12.75" customHeight="1">
      <c r="A1519" t="inlineStr">
        <is>
          <t xml:space="preserve">เปลี่ยนภาพถ่ายสินค้าธรรมดา ให้เป็น Mockup 3D </t>
        </is>
      </c>
      <c r="B1519" t="inlineStr">
        <is>
          <t>Thitirath Kinaret</t>
        </is>
      </c>
      <c r="C1519" s="2">
        <v>45833</v>
      </c>
      <c r="D1519" s="2">
        <v>45833</v>
      </c>
      <c r="E1519" t="inlineStr">
        <is>
          <t>ปกติ</t>
        </is>
      </c>
      <c r="F1519" s="3"/>
      <c r="G1519"/>
      <c r="H1519" t="inlineStr">
        <is>
          <t>Pic Posts / Album</t>
        </is>
      </c>
      <c r="I1519" t="inlineStr">
        <is>
          <t>งานประจำวัน</t>
        </is>
      </c>
      <c r="J1519" t="inlineStr">
        <is>
          <t>Done</t>
        </is>
      </c>
      <c r="K1519"/>
      <c r="L1519" s="3" t="str">
        <f>=HYPERLINK("https://www.facebook.com/iPhonemod/posts/pfbid0fZZ64tNQLgysNRKFbrGg2bJFz89VwtZndXxYPQkEUhrH8xh7JZEK2m587bTb6wc9l?__cft__[0]=AZWCEWr21ZvX_XML8ejjpgk9llNMpyBNYsHNF9GZaqObiylfntLmpSpFOtI6CfIYFHrU47dlULr_sMFGZ4FeK9dBEtEd4fCOAAzBli_mS4K6pQArYOaMmqpaXPc7mzdiRijHfNNo136ELu7AobJwoYmqoy5FFnRpIKlbGH-hBA5gzg2Isv0-lYkVeZdjAVD3TQYj0FaFioHSEVMQT8cJeaUK&amp;__tn__=%2CO%2CP-R", "https://www.facebook.com/iPhonemod/posts/pfbid0fZZ64tNQLgysNRKFbrGg2bJFz89VwtZndXxYPQkEUhrH8xh7JZEK2m587bTb6wc9l?__cft__[0]=AZWCEWr21ZvX_XML8ejjpgk9llNMpyBNYsHNF9GZaqObiylfntLmpSpFOtI6CfIYFHrU47dlULr_sMFGZ4FeK9dBEtEd4fCOAAzBli_mS4K6pQArYOaMmqpaXPc7mzdiRijHfNNo136ELu7AobJwoYmqoy5FFnRpIKlbGH-hBA5gzg2Isv0-lYkVeZdjAVD3TQYj0FaFioHSEVMQT8cJeaUK&amp;__tn__=%2CO%2CP-R")</f>
        <v>https://www.facebook.com/iPhonemod/posts/pfbid0fZZ64tNQLgysNRKFbrGg2bJFz89VwtZndXxYPQkEUhrH8xh7JZEK2m587bTb6wc9l?__cft__[0]=AZWCEWr21ZvX_XML8ejjpgk9llNMpyBNYsHNF9GZaqObiylfntLmpSpFOtI6CfIYFHrU47dlULr_sMFGZ4FeK9dBEtEd4fCOAAzBli_mS4K6pQArYOaMmqpaXPc7mzdiRijHfNNo136ELu7AobJwoYmqoy5FFnRpIKlbGH-hBA5gzg2Isv0-lYkVeZdjAVD3TQYj0FaFioHSEVMQT8cJeaUK&amp;__tn__=%2CO%2CP-R</v>
      </c>
      <c r="M1519" t="inlineStr">
        <is>
          <t>1</t>
        </is>
      </c>
      <c r="N1519" t="inlineStr">
        <is>
          <t>AI</t>
        </is>
      </c>
      <c r="O1519"/>
    </row>
    <row r="1520" ht="12.75" customHeight="1">
      <c r="A1520" t="inlineStr">
        <is>
          <t>การยืนยันตัวตนแบบสองชั้น ป้องกันความเสี่ยงถูกแฮ็ก</t>
        </is>
      </c>
      <c r="B1520" t="inlineStr">
        <is>
          <t>Thitirath Kinaret</t>
        </is>
      </c>
      <c r="C1520" s="2">
        <v>45833</v>
      </c>
      <c r="D1520" s="2">
        <v>45833</v>
      </c>
      <c r="E1520" t="inlineStr">
        <is>
          <t>ปกติ</t>
        </is>
      </c>
      <c r="F1520" s="3"/>
      <c r="G1520"/>
      <c r="H1520" t="inlineStr">
        <is>
          <t>Pic Posts / Album</t>
        </is>
      </c>
      <c r="I1520" t="inlineStr">
        <is>
          <t>งานประจำวัน</t>
        </is>
      </c>
      <c r="J1520" t="inlineStr">
        <is>
          <t>Done</t>
        </is>
      </c>
      <c r="K1520"/>
      <c r="L1520" s="3" t="str">
        <f>=HYPERLINK("https://www.facebook.com/iPhonemod/posts/pfbid0oMnyhNNEZP8PW7aAu9NtfEeujhUQdNEDkFKhxuvozdqdSaCgoNVEMz16twSpZHXql?__cft__[0]=AZVtAbn3tQEcfqVzf1gPkUiArU4mkj8lKcCgEAhsO3juFfhQ4qNPlp6D70HtcNIkWXPxOFphgf6aBdBAoZNtxXFDUZ03z95FlBupmvgNeg4aSfbskXBIFu5Zs-MY_uczbHCd7kxXldMDFg032NoSgEPAPQQGf-er00p3n7lK4CkXIKZoesoKKlX-gIZ0NpaN5X2kbf33r5uTCbNHYzeW6s3B&amp;__tn__=%2CO%2CP-R", "https://www.facebook.com/iPhonemod/posts/pfbid0oMnyhNNEZP8PW7aAu9NtfEeujhUQdNEDkFKhxuvozdqdSaCgoNVEMz16twSpZHXql?__cft__[0]=AZVtAbn3tQEcfqVzf1gPkUiArU4mkj8lKcCgEAhsO3juFfhQ4qNPlp6D70HtcNIkWXPxOFphgf6aBdBAoZNtxXFDUZ03z95FlBupmvgNeg4aSfbskXBIFu5Zs-MY_uczbHCd7kxXldMDFg032NoSgEPAPQQGf-er00p3n7lK4CkXIKZoesoKKlX-gIZ0NpaN5X2kbf33r5uTCbNHYzeW6s3B&amp;__tn__=%2CO%2CP-R")</f>
        <v>https://www.facebook.com/iPhonemod/posts/pfbid0oMnyhNNEZP8PW7aAu9NtfEeujhUQdNEDkFKhxuvozdqdSaCgoNVEMz16twSpZHXql?__cft__[0]=AZVtAbn3tQEcfqVzf1gPkUiArU4mkj8lKcCgEAhsO3juFfhQ4qNPlp6D70HtcNIkWXPxOFphgf6aBdBAoZNtxXFDUZ03z95FlBupmvgNeg4aSfbskXBIFu5Zs-MY_uczbHCd7kxXldMDFg032NoSgEPAPQQGf-er00p3n7lK4CkXIKZoesoKKlX-gIZ0NpaN5X2kbf33r5uTCbNHYzeW6s3B&amp;__tn__=%2CO%2CP-R</v>
      </c>
      <c r="M1520" t="inlineStr">
        <is>
          <t>1</t>
        </is>
      </c>
      <c r="N1520" t="inlineStr">
        <is>
          <t>Tech</t>
        </is>
      </c>
      <c r="O1520"/>
    </row>
    <row r="1521" ht="12.75" customHeight="1">
      <c r="A1521" t="inlineStr">
        <is>
          <t>Apple ปล่อย iOS 26 Beta 2 ให้ทดสอบ
</t>
        </is>
      </c>
      <c r="B1521" t="inlineStr">
        <is>
          <t>Thitirath Kinaret</t>
        </is>
      </c>
      <c r="C1521" s="2">
        <v>45832</v>
      </c>
      <c r="D1521" s="2">
        <v>45832</v>
      </c>
      <c r="E1521" t="inlineStr">
        <is>
          <t>ปกติ</t>
        </is>
      </c>
      <c r="F1521" s="3"/>
      <c r="G1521"/>
      <c r="H1521" t="inlineStr">
        <is>
          <t>Website, YouTube</t>
        </is>
      </c>
      <c r="I1521" t="inlineStr">
        <is>
          <t>งานประจำวัน</t>
        </is>
      </c>
      <c r="J1521" t="inlineStr">
        <is>
          <t>Done</t>
        </is>
      </c>
      <c r="K1521"/>
      <c r="L1521" s="3" t="str">
        <f>=HYPERLINK("https://www.iphonemod.net/apple-seed-ios-26-beta-2.html", "https://www.iphonemod.net/apple-seed-ios-26-beta-2.html")</f>
        <v>https://www.iphonemod.net/apple-seed-ios-26-beta-2.html</v>
      </c>
      <c r="M1521" t="inlineStr">
        <is>
          <t>1</t>
        </is>
      </c>
      <c r="N1521" t="inlineStr">
        <is>
          <t>Apple</t>
        </is>
      </c>
      <c r="O1521"/>
    </row>
    <row r="1522" ht="12.75" customHeight="1">
      <c r="A1522" t="inlineStr">
        <is>
          <t>Samsung ประกาศวันจัดงาน Galaxy Unpacked พร้อมให้ลงทะเบียนความสนใจ</t>
        </is>
      </c>
      <c r="B1522" t="inlineStr">
        <is>
          <t>Saktaphat Kordjan</t>
        </is>
      </c>
      <c r="C1522" s="2">
        <v>45832</v>
      </c>
      <c r="D1522" s="2"/>
      <c r="E1522" t="inlineStr">
        <is>
          <t>ปกติ</t>
        </is>
      </c>
      <c r="F1522" s="3"/>
      <c r="G1522"/>
      <c r="H1522" t="inlineStr">
        <is>
          <t>Website, Shorts</t>
        </is>
      </c>
      <c r="I1522" t="inlineStr">
        <is>
          <t>งานประจำวัน</t>
        </is>
      </c>
      <c r="J1522" t="inlineStr">
        <is>
          <t>Done</t>
        </is>
      </c>
      <c r="K1522"/>
      <c r="L1522" s="3"/>
      <c r="M1522" t="inlineStr">
        <is>
          <t>1</t>
        </is>
      </c>
      <c r="N1522" t="inlineStr">
        <is>
          <t>Android</t>
        </is>
      </c>
      <c r="O1522"/>
    </row>
    <row r="1523" ht="12.75" customHeight="1">
      <c r="A1523" t="inlineStr">
        <is>
          <t>หลุดราคา Galaxy Z Fold7 และ Z Flip7</t>
        </is>
      </c>
      <c r="B1523" t="inlineStr">
        <is>
          <t>Saktaphat Kordjan</t>
        </is>
      </c>
      <c r="C1523" s="2">
        <v>45832</v>
      </c>
      <c r="D1523" s="2"/>
      <c r="E1523" t="inlineStr">
        <is>
          <t>ปกติ</t>
        </is>
      </c>
      <c r="F1523" s="3" t="str">
        <f>=HYPERLINK("https://www.sammobile.com/news/leaked-galaxy-z-fold-7-and-z-flip-7-prices-reveal-a-big-increase/", "https://www.sammobile.com/news/leaked-galaxy-z-fold-7-and-z-flip-7-prices-reveal-a-big-increase/")</f>
        <v>https://www.sammobile.com/news/leaked-galaxy-z-fold-7-and-z-flip-7-prices-reveal-a-big-increase/</v>
      </c>
      <c r="G1523"/>
      <c r="H1523" t="inlineStr">
        <is>
          <t>Website</t>
        </is>
      </c>
      <c r="I1523" t="inlineStr">
        <is>
          <t>งานประจำวัน</t>
        </is>
      </c>
      <c r="J1523" t="inlineStr">
        <is>
          <t>Done</t>
        </is>
      </c>
      <c r="K1523"/>
      <c r="L1523" s="3"/>
      <c r="M1523" t="inlineStr">
        <is>
          <t>1</t>
        </is>
      </c>
      <c r="N1523" t="inlineStr">
        <is>
          <t>Android</t>
        </is>
      </c>
      <c r="O1523"/>
    </row>
    <row r="1524" ht="12.75" customHeight="1">
      <c r="A1524" t="inlineStr">
        <is>
          <t>เปลี่ยนสินค้าในมือด้วย higgsfield.ai</t>
        </is>
      </c>
      <c r="B1524" t="inlineStr">
        <is>
          <t>Nattida Suriyodara,Sasithakan Sritonthip</t>
        </is>
      </c>
      <c r="C1524" s="2">
        <v>45832</v>
      </c>
      <c r="D1524" s="2"/>
      <c r="E1524" t="inlineStr">
        <is>
          <t>ปกติ</t>
        </is>
      </c>
      <c r="F1524" s="3"/>
      <c r="G1524"/>
      <c r="H1524" t="inlineStr">
        <is>
          <t>Shorts</t>
        </is>
      </c>
      <c r="I1524" t="inlineStr">
        <is>
          <t>งานประจำวัน</t>
        </is>
      </c>
      <c r="J1524" t="inlineStr">
        <is>
          <t>Done</t>
        </is>
      </c>
      <c r="K1524"/>
      <c r="L1524" s="3"/>
      <c r="M1524" t="inlineStr">
        <is>
          <t>1</t>
        </is>
      </c>
      <c r="N1524" t="inlineStr">
        <is>
          <t>AI</t>
        </is>
      </c>
      <c r="O1524"/>
    </row>
    <row r="1525" ht="12.75" customHeight="1">
      <c r="A1525" t="inlineStr">
        <is>
          <t>พูดคุย แชร์ประสบการณ์ มือถือจอพับ ใช้แล้วดีไหม?</t>
        </is>
      </c>
      <c r="B1525" t="inlineStr">
        <is>
          <t>Saktaphat Kordjan,Thitirath Kinaret</t>
        </is>
      </c>
      <c r="C1525" s="2">
        <v>45832</v>
      </c>
      <c r="D1525" s="2"/>
      <c r="E1525" t="inlineStr">
        <is>
          <t>ปกติ</t>
        </is>
      </c>
      <c r="F1525" s="3"/>
      <c r="G1525"/>
      <c r="H1525" t="inlineStr">
        <is>
          <t>YouTube</t>
        </is>
      </c>
      <c r="I1525" t="inlineStr">
        <is>
          <t>เสนอไอเดีย</t>
        </is>
      </c>
      <c r="J1525" t="inlineStr">
        <is>
          <t>Done</t>
        </is>
      </c>
      <c r="K1525"/>
      <c r="L1525" s="3"/>
      <c r="M1525" t="inlineStr">
        <is>
          <t>1</t>
        </is>
      </c>
      <c r="N1525" t="inlineStr">
        <is>
          <t>Android</t>
        </is>
      </c>
      <c r="O1525"/>
    </row>
    <row r="1526" ht="12.75" customHeight="1">
      <c r="A1526" t="inlineStr">
        <is>
          <t>หลุด! Nothing Headphones (1) เปิดตัว ก.ค. นี้</t>
        </is>
      </c>
      <c r="B1526" t="inlineStr">
        <is>
          <t>Saktaphat Kordjan</t>
        </is>
      </c>
      <c r="C1526" s="2">
        <v>45832</v>
      </c>
      <c r="D1526" s="2"/>
      <c r="E1526" t="inlineStr">
        <is>
          <t>ปกติ</t>
        </is>
      </c>
      <c r="F1526" s="3"/>
      <c r="G1526"/>
      <c r="H1526" t="inlineStr">
        <is>
          <t>Website</t>
        </is>
      </c>
      <c r="I1526" t="inlineStr">
        <is>
          <t>งานประจำวัน</t>
        </is>
      </c>
      <c r="J1526" t="inlineStr">
        <is>
          <t>Done</t>
        </is>
      </c>
      <c r="K1526"/>
      <c r="L1526" s="3"/>
      <c r="M1526" t="inlineStr">
        <is>
          <t>1</t>
        </is>
      </c>
      <c r="N1526" t="inlineStr">
        <is>
          <t>Tech, Android</t>
        </is>
      </c>
      <c r="O1526"/>
    </row>
    <row r="1527" ht="12.75" customHeight="1">
      <c r="A1527" t="inlineStr">
        <is>
          <t xml:space="preserve">Galaxy S27U อาจตัด S pen ออก </t>
        </is>
      </c>
      <c r="B1527" t="inlineStr">
        <is>
          <t>Saktaphat Kordjan</t>
        </is>
      </c>
      <c r="C1527" s="2">
        <v>45831</v>
      </c>
      <c r="D1527" s="2"/>
      <c r="E1527" t="inlineStr">
        <is>
          <t>ปกติ</t>
        </is>
      </c>
      <c r="F1527" s="3" t="str">
        <f>=HYPERLINK("https://www.sammobile.com/news/galaxy-s27-ultra-may-mark-the-end-of-the-built-in-s-pen-slot/", "https://www.sammobile.com/news/galaxy-s27-ultra-may-mark-the-end-of-the-built-in-s-pen-slot/")</f>
        <v>https://www.sammobile.com/news/galaxy-s27-ultra-may-mark-the-end-of-the-built-in-s-pen-slot/</v>
      </c>
      <c r="G1527"/>
      <c r="H1527" t="inlineStr">
        <is>
          <t>Website, Shorts</t>
        </is>
      </c>
      <c r="I1527" t="inlineStr">
        <is>
          <t>งานประจำวัน</t>
        </is>
      </c>
      <c r="J1527" t="inlineStr">
        <is>
          <t>Done</t>
        </is>
      </c>
      <c r="K1527"/>
      <c r="L1527" s="3"/>
      <c r="M1527" t="inlineStr">
        <is>
          <t>1</t>
        </is>
      </c>
      <c r="N1527" t="inlineStr">
        <is>
          <t>Android</t>
        </is>
      </c>
      <c r="O1527"/>
    </row>
    <row r="1528" ht="12.75" customHeight="1">
      <c r="A1528" t="inlineStr">
        <is>
          <t xml:space="preserve">แนะนำเว็บ Remove BG ใหม่  </t>
        </is>
      </c>
      <c r="B1528" t="inlineStr">
        <is>
          <t>Nattida Suriyodara,Sasithakan Sritonthip</t>
        </is>
      </c>
      <c r="C1528" s="2">
        <v>45831</v>
      </c>
      <c r="D1528" s="2"/>
      <c r="E1528" t="inlineStr">
        <is>
          <t>ปกติ</t>
        </is>
      </c>
      <c r="F1528" s="3"/>
      <c r="G1528"/>
      <c r="H1528" t="inlineStr">
        <is>
          <t>Shorts</t>
        </is>
      </c>
      <c r="I1528" t="inlineStr">
        <is>
          <t>งานประจำวัน</t>
        </is>
      </c>
      <c r="J1528" t="inlineStr">
        <is>
          <t>Done</t>
        </is>
      </c>
      <c r="K1528"/>
      <c r="L1528" s="3"/>
      <c r="M1528" t="inlineStr">
        <is>
          <t>1</t>
        </is>
      </c>
      <c r="N1528" t="inlineStr">
        <is>
          <t>AI</t>
        </is>
      </c>
      <c r="O1528"/>
    </row>
    <row r="1529" ht="12.75" customHeight="1">
      <c r="A1529" t="inlineStr">
        <is>
          <t>สรุปชัด ๆ iPadOS 26 ใช้แอปโทรได้มั้ย ใช้ยังไง</t>
        </is>
      </c>
      <c r="B1529" t="inlineStr">
        <is>
          <t>Nattida Suriyodara,Sasithakan Sritonthip</t>
        </is>
      </c>
      <c r="C1529" s="2">
        <v>45831</v>
      </c>
      <c r="D1529" s="2"/>
      <c r="E1529" t="inlineStr">
        <is>
          <t>ปกติ</t>
        </is>
      </c>
      <c r="F1529" s="3"/>
      <c r="G1529"/>
      <c r="H1529" t="inlineStr">
        <is>
          <t>Shorts</t>
        </is>
      </c>
      <c r="I1529" t="inlineStr">
        <is>
          <t>งานประจำวัน</t>
        </is>
      </c>
      <c r="J1529" t="inlineStr">
        <is>
          <t>Done</t>
        </is>
      </c>
      <c r="K1529"/>
      <c r="L1529" s="3"/>
      <c r="M1529" t="inlineStr">
        <is>
          <t>1</t>
        </is>
      </c>
      <c r="N1529" t="inlineStr">
        <is>
          <t>Apple</t>
        </is>
      </c>
      <c r="O1529"/>
    </row>
    <row r="1530" ht="12.75" customHeight="1">
      <c r="A1530" t="inlineStr">
        <is>
          <t xml:space="preserve">เปิดตัวแว่น Oakley  อัดวิดีโอ 3K ได้ </t>
        </is>
      </c>
      <c r="B1530" t="inlineStr">
        <is>
          <t>Saktaphat Kordjan</t>
        </is>
      </c>
      <c r="C1530" s="2">
        <v>45831</v>
      </c>
      <c r="D1530" s="2"/>
      <c r="E1530" t="inlineStr">
        <is>
          <t>ปกติ</t>
        </is>
      </c>
      <c r="F1530" s="3"/>
      <c r="G1530"/>
      <c r="H1530" t="inlineStr">
        <is>
          <t>Website, Shorts</t>
        </is>
      </c>
      <c r="I1530" t="inlineStr">
        <is>
          <t>งานประจำวัน</t>
        </is>
      </c>
      <c r="J1530" t="inlineStr">
        <is>
          <t>Done</t>
        </is>
      </c>
      <c r="K1530"/>
      <c r="L1530" s="3"/>
      <c r="M1530" t="inlineStr">
        <is>
          <t>1</t>
        </is>
      </c>
      <c r="N1530" t="inlineStr">
        <is>
          <t>Tech</t>
        </is>
      </c>
      <c r="O1530"/>
    </row>
    <row r="1531" ht="12.75" customHeight="1">
      <c r="A1531" t="inlineStr">
        <is>
          <t>Huawei เปิดตัว HarmonyOS 6</t>
        </is>
      </c>
      <c r="B1531" t="inlineStr">
        <is>
          <t>Saktaphat Kordjan</t>
        </is>
      </c>
      <c r="C1531" s="2">
        <v>45831</v>
      </c>
      <c r="D1531" s="2"/>
      <c r="E1531" t="inlineStr">
        <is>
          <t>ปกติ</t>
        </is>
      </c>
      <c r="F1531" s="3"/>
      <c r="G1531"/>
      <c r="H1531" t="inlineStr">
        <is>
          <t>Website</t>
        </is>
      </c>
      <c r="I1531" t="inlineStr">
        <is>
          <t>งานประจำวัน</t>
        </is>
      </c>
      <c r="J1531" t="inlineStr">
        <is>
          <t>Done</t>
        </is>
      </c>
      <c r="K1531"/>
      <c r="L1531" s="3"/>
      <c r="M1531" t="inlineStr">
        <is>
          <t>1</t>
        </is>
      </c>
      <c r="N1531" t="inlineStr">
        <is>
          <t>Android</t>
        </is>
      </c>
      <c r="O1531"/>
    </row>
    <row r="1532" ht="12.75" customHeight="1">
      <c r="A1532" t="inlineStr">
        <is>
          <t>Apple ถอดโฆษณา “วิธีโน้มน้าวผู้ปกครองให้ซื้อ Mac” ออกจาก YouTube
</t>
        </is>
      </c>
      <c r="B1532" t="inlineStr">
        <is>
          <t>Thitirath Kinaret</t>
        </is>
      </c>
      <c r="C1532" s="2">
        <v>45831</v>
      </c>
      <c r="D1532" s="2">
        <v>45831</v>
      </c>
      <c r="E1532" t="inlineStr">
        <is>
          <t>ปกติ</t>
        </is>
      </c>
      <c r="F1532" s="3"/>
      <c r="G1532"/>
      <c r="H1532" t="inlineStr">
        <is>
          <t>Website, Pic Posts / Album</t>
        </is>
      </c>
      <c r="I1532" t="inlineStr">
        <is>
          <t>งานประจำวัน</t>
        </is>
      </c>
      <c r="J1532" t="inlineStr">
        <is>
          <t>Done</t>
        </is>
      </c>
      <c r="K1532"/>
      <c r="L1532" s="3" t="str">
        <f>=HYPERLINK("https://www.iphonemod.net/apple-pulled-convince-your-parents-get-a-mac-ad.html", "https://www.iphonemod.net/apple-pulled-convince-your-parents-get-a-mac-ad.html")</f>
        <v>https://www.iphonemod.net/apple-pulled-convince-your-parents-get-a-mac-ad.html</v>
      </c>
      <c r="M1532" t="inlineStr">
        <is>
          <t>1</t>
        </is>
      </c>
      <c r="N1532" t="inlineStr">
        <is>
          <t>Apple</t>
        </is>
      </c>
      <c r="O1532"/>
    </row>
    <row r="1533" ht="12.75" customHeight="1">
      <c r="A1533" t="inlineStr">
        <is>
          <t>ลบพื้นหลังจากภาพด้วย fileconv ลบเนียน ภาพชัด โหลดฟรี ไม่จำกัด
</t>
        </is>
      </c>
      <c r="B1533" t="inlineStr">
        <is>
          <t>Thitirath Kinaret</t>
        </is>
      </c>
      <c r="C1533" s="2">
        <v>45829</v>
      </c>
      <c r="D1533" s="2">
        <v>45829</v>
      </c>
      <c r="E1533" t="inlineStr">
        <is>
          <t>ปกติ</t>
        </is>
      </c>
      <c r="F1533" s="3"/>
      <c r="G1533"/>
      <c r="H1533" t="inlineStr">
        <is>
          <t>Website</t>
        </is>
      </c>
      <c r="I1533" t="inlineStr">
        <is>
          <t>งานประจำวัน</t>
        </is>
      </c>
      <c r="J1533" t="inlineStr">
        <is>
          <t>Done</t>
        </is>
      </c>
      <c r="K1533"/>
      <c r="L1533" s="3" t="str">
        <f>=HYPERLINK("https://www.iphonemod.net/fileconv-remove-bg.html", "https://www.iphonemod.net/fileconv-remove-bg.html")</f>
        <v>https://www.iphonemod.net/fileconv-remove-bg.html</v>
      </c>
      <c r="M1533" t="inlineStr">
        <is>
          <t>1</t>
        </is>
      </c>
      <c r="N1533" t="inlineStr">
        <is>
          <t>Tech</t>
        </is>
      </c>
      <c r="O1533"/>
    </row>
    <row r="1534" ht="12.75" customHeight="1">
      <c r="A1534" t="inlineStr">
        <is>
          <t>อัปเดตวิธีลงทะเบียน UNiDAYS 2025</t>
        </is>
      </c>
      <c r="B1534" t="inlineStr">
        <is>
          <t>Nattida Suriyodara</t>
        </is>
      </c>
      <c r="C1534" s="2">
        <v>45828</v>
      </c>
      <c r="D1534" s="2"/>
      <c r="E1534" t="inlineStr">
        <is>
          <t>ปกติ</t>
        </is>
      </c>
      <c r="F1534" s="3" t="str">
        <f>=HYPERLINK("https://www.iphonemod.net/how-to-apply-unidays-for-student-2025.html?preview_id=307186&amp;preview_nonce=3382b53d11&amp;post_format=standard&amp;_thumbnail_id=307206&amp;preview=true", "https://www.iphonemod.net/how-to-apply-unidays-for-student-2025.html?preview_id=307186&amp;preview_nonce=3382b53d11&amp;post_format=standard&amp;_thumbnail_id=307206&amp;preview=true")</f>
        <v>https://www.iphonemod.net/how-to-apply-unidays-for-student-2025.html?preview_id=307186&amp;preview_nonce=3382b53d11&amp;post_format=standard&amp;_thumbnail_id=307206&amp;preview=true</v>
      </c>
      <c r="G1534"/>
      <c r="H1534" t="inlineStr">
        <is>
          <t>Website</t>
        </is>
      </c>
      <c r="I1534" t="inlineStr">
        <is>
          <t>งานประจำวัน</t>
        </is>
      </c>
      <c r="J1534" t="inlineStr">
        <is>
          <t>Done</t>
        </is>
      </c>
      <c r="K1534" t="inlineStr">
        <is>
          <t xml:space="preserve">เฉพาะวิธีลงทะเบียนสำหรับ นศ. </t>
        </is>
      </c>
      <c r="L1534" s="3"/>
      <c r="M1534" t="inlineStr">
        <is>
          <t>1</t>
        </is>
      </c>
      <c r="N1534" t="inlineStr">
        <is>
          <t>Apple</t>
        </is>
      </c>
      <c r="O1534"/>
    </row>
    <row r="1535" ht="12.75" customHeight="1">
      <c r="A1535" t="inlineStr">
        <is>
          <t>ยืนยันสิทธิ์ UNiDAYS สำหรับ นศ. ที่ไม่มีเมล</t>
        </is>
      </c>
      <c r="B1535" t="inlineStr">
        <is>
          <t>Nattida Suriyodara,Sasithakan Sritonthip</t>
        </is>
      </c>
      <c r="C1535" s="2">
        <v>45828</v>
      </c>
      <c r="D1535" s="2"/>
      <c r="E1535" t="inlineStr">
        <is>
          <t>ปกติ</t>
        </is>
      </c>
      <c r="F1535" s="3"/>
      <c r="G1535"/>
      <c r="H1535" t="inlineStr">
        <is>
          <t>Shorts</t>
        </is>
      </c>
      <c r="I1535" t="inlineStr">
        <is>
          <t>งานประจำวัน</t>
        </is>
      </c>
      <c r="J1535" t="inlineStr">
        <is>
          <t>Done</t>
        </is>
      </c>
      <c r="K1535"/>
      <c r="L1535" s="3"/>
      <c r="M1535" t="inlineStr">
        <is>
          <t>1</t>
        </is>
      </c>
      <c r="N1535" t="inlineStr">
        <is>
          <t>Apple</t>
        </is>
      </c>
      <c r="O1535"/>
    </row>
    <row r="1536" ht="12.75" customHeight="1">
      <c r="A1536" t="inlineStr">
        <is>
          <t xml:space="preserve">หลุด! สี ความจุ Galaxy Z Flip 7 </t>
        </is>
      </c>
      <c r="B1536" t="inlineStr">
        <is>
          <t>Saktaphat Kordjan</t>
        </is>
      </c>
      <c r="C1536" s="2">
        <v>45828</v>
      </c>
      <c r="D1536" s="2"/>
      <c r="E1536" t="inlineStr">
        <is>
          <t>ปกติ</t>
        </is>
      </c>
      <c r="F1536" s="3" t="str">
        <f>=HYPERLINK("https://www.gsmarena.com/leaked_images_show_off_samsung_galaxy_z_flip7_colors_storage_info_also_leaks-news-68330.php", "https://www.gsmarena.com/leaked_images_show_off_samsung_galaxy_z_flip7_colors_storage_info_also_leaks-news-68330.php")</f>
        <v>https://www.gsmarena.com/leaked_images_show_off_samsung_galaxy_z_flip7_colors_storage_info_also_leaks-news-68330.php</v>
      </c>
      <c r="G1536"/>
      <c r="H1536" t="inlineStr">
        <is>
          <t>Website</t>
        </is>
      </c>
      <c r="I1536" t="inlineStr">
        <is>
          <t>งานประจำวัน</t>
        </is>
      </c>
      <c r="J1536" t="inlineStr">
        <is>
          <t>Done</t>
        </is>
      </c>
      <c r="K1536"/>
      <c r="L1536" s="3"/>
      <c r="M1536" t="inlineStr">
        <is>
          <t>1</t>
        </is>
      </c>
      <c r="N1536" t="inlineStr">
        <is>
          <t>Android</t>
        </is>
      </c>
      <c r="O1536"/>
    </row>
    <row r="1537" ht="12.75" customHeight="1">
      <c r="A1537" t="inlineStr">
        <is>
          <t>iPadOS 26 เพิ่มแอปไฟล์ลงในเครื่องแล้ว!</t>
        </is>
      </c>
      <c r="B1537" t="inlineStr">
        <is>
          <t>Nattida Suriyodara,Sasithakan Sritonthip</t>
        </is>
      </c>
      <c r="C1537" s="2">
        <v>45828</v>
      </c>
      <c r="D1537" s="2"/>
      <c r="E1537" t="inlineStr">
        <is>
          <t>ปกติ</t>
        </is>
      </c>
      <c r="F1537" s="3"/>
      <c r="G1537"/>
      <c r="H1537" t="inlineStr">
        <is>
          <t>Shorts</t>
        </is>
      </c>
      <c r="I1537" t="inlineStr">
        <is>
          <t>งานประจำวัน</t>
        </is>
      </c>
      <c r="J1537" t="inlineStr">
        <is>
          <t>Done</t>
        </is>
      </c>
      <c r="K1537"/>
      <c r="L1537" s="3"/>
      <c r="M1537" t="inlineStr">
        <is>
          <t>1</t>
        </is>
      </c>
      <c r="N1537" t="inlineStr">
        <is>
          <t>Apple</t>
        </is>
      </c>
      <c r="O1537"/>
    </row>
    <row r="1538" ht="12.75" customHeight="1">
      <c r="A1538" t="inlineStr">
        <is>
          <t xml:space="preserve">BTS 2025 เลือกอุปกรณ์เสริมยังไงให้คุ้ม? </t>
        </is>
      </c>
      <c r="B1538" t="inlineStr">
        <is>
          <t>Saktaphat Kordjan</t>
        </is>
      </c>
      <c r="C1538" s="2">
        <v>45828</v>
      </c>
      <c r="D1538" s="2"/>
      <c r="E1538" t="inlineStr">
        <is>
          <t>ปกติ</t>
        </is>
      </c>
      <c r="F1538" s="3"/>
      <c r="G1538"/>
      <c r="H1538" t="inlineStr">
        <is>
          <t>Shorts</t>
        </is>
      </c>
      <c r="I1538" t="inlineStr">
        <is>
          <t>งานประจำวัน</t>
        </is>
      </c>
      <c r="J1538" t="inlineStr">
        <is>
          <t>Done</t>
        </is>
      </c>
      <c r="K1538"/>
      <c r="L1538" s="3"/>
      <c r="M1538" t="inlineStr">
        <is>
          <t>1</t>
        </is>
      </c>
      <c r="N1538" t="inlineStr">
        <is>
          <t>Apple</t>
        </is>
      </c>
      <c r="O1538"/>
    </row>
    <row r="1539" ht="12.75" customHeight="1">
      <c r="A1539" t="inlineStr">
        <is>
          <t>AI เปลี่ยนชุด BeautyCam</t>
        </is>
      </c>
      <c r="B1539" t="inlineStr">
        <is>
          <t>Nattida Suriyodara</t>
        </is>
      </c>
      <c r="C1539" s="2">
        <v>45827</v>
      </c>
      <c r="D1539" s="2"/>
      <c r="E1539" t="inlineStr">
        <is>
          <t>ปกติ</t>
        </is>
      </c>
      <c r="F1539" s="3"/>
      <c r="G1539"/>
      <c r="H1539" t="inlineStr">
        <is>
          <t>Website</t>
        </is>
      </c>
      <c r="I1539" t="inlineStr">
        <is>
          <t>งานประจำวัน</t>
        </is>
      </c>
      <c r="J1539" t="inlineStr">
        <is>
          <t>Done</t>
        </is>
      </c>
      <c r="K1539"/>
      <c r="L1539" s="3"/>
      <c r="M1539" t="inlineStr">
        <is>
          <t>1</t>
        </is>
      </c>
      <c r="N1539" t="inlineStr">
        <is>
          <t>Apple</t>
        </is>
      </c>
      <c r="O1539"/>
    </row>
    <row r="1540" ht="12.75" customHeight="1">
      <c r="A1540" t="inlineStr">
        <is>
          <t>วิธียืนยันสิทธิ์ด้วย Unidays 2025</t>
        </is>
      </c>
      <c r="B1540" t="inlineStr">
        <is>
          <t>Nattida Suriyodara,Sasithakan Sritonthip</t>
        </is>
      </c>
      <c r="C1540" s="2">
        <v>45827</v>
      </c>
      <c r="D1540" s="2"/>
      <c r="E1540" t="inlineStr">
        <is>
          <t>ปกติ</t>
        </is>
      </c>
      <c r="F1540" s="3"/>
      <c r="G1540"/>
      <c r="H1540" t="inlineStr">
        <is>
          <t>Shorts</t>
        </is>
      </c>
      <c r="I1540" t="inlineStr">
        <is>
          <t>งานประจำวัน</t>
        </is>
      </c>
      <c r="J1540" t="inlineStr">
        <is>
          <t>Done</t>
        </is>
      </c>
      <c r="K1540"/>
      <c r="L1540" s="3"/>
      <c r="M1540" t="inlineStr">
        <is>
          <t>1</t>
        </is>
      </c>
      <c r="N1540" t="inlineStr">
        <is>
          <t>AI</t>
        </is>
      </c>
      <c r="O1540"/>
    </row>
    <row r="1541" ht="12.75" customHeight="1">
      <c r="A1541" t="inlineStr">
        <is>
          <t>AIS PAYDAY iPhone 16</t>
        </is>
      </c>
      <c r="B1541" t="inlineStr">
        <is>
          <t>Thitirath Kinaret</t>
        </is>
      </c>
      <c r="C1541" s="2">
        <v>45827</v>
      </c>
      <c r="D1541" s="2">
        <v>45828</v>
      </c>
      <c r="E1541" t="inlineStr">
        <is>
          <t>ปกติ</t>
        </is>
      </c>
      <c r="F1541" s="3"/>
      <c r="G1541"/>
      <c r="H1541" t="inlineStr">
        <is>
          <t>Pic Posts / Album</t>
        </is>
      </c>
      <c r="I1541" t="inlineStr">
        <is>
          <t>งานลูกค้า</t>
        </is>
      </c>
      <c r="J1541" t="inlineStr">
        <is>
          <t>Done</t>
        </is>
      </c>
      <c r="K1541"/>
      <c r="L1541" s="3"/>
      <c r="M1541" t="inlineStr">
        <is>
          <t>1</t>
        </is>
      </c>
      <c r="N1541" t="inlineStr">
        <is>
          <t>Apple</t>
        </is>
      </c>
      <c r="O1541"/>
    </row>
    <row r="1542" ht="12.75" customHeight="1">
      <c r="A1542" t="inlineStr">
        <is>
          <t>Samsung อาจเปิดตัว Galaxy Z รุ่นใหม่ 9 ก.ค. นี้</t>
        </is>
      </c>
      <c r="B1542" t="inlineStr">
        <is>
          <t>Saktaphat Kordjan</t>
        </is>
      </c>
      <c r="C1542" s="2">
        <v>45827</v>
      </c>
      <c r="D1542" s="2"/>
      <c r="E1542" t="inlineStr">
        <is>
          <t>ปกติ</t>
        </is>
      </c>
      <c r="F1542" s="3"/>
      <c r="G1542"/>
      <c r="H1542" t="inlineStr">
        <is>
          <t>Website</t>
        </is>
      </c>
      <c r="I1542" t="inlineStr">
        <is>
          <t>งานประจำวัน</t>
        </is>
      </c>
      <c r="J1542" t="inlineStr">
        <is>
          <t>Done</t>
        </is>
      </c>
      <c r="K1542"/>
      <c r="L1542" s="3"/>
      <c r="M1542" t="inlineStr">
        <is>
          <t>1</t>
        </is>
      </c>
      <c r="N1542" t="inlineStr">
        <is>
          <t>Android</t>
        </is>
      </c>
      <c r="O1542"/>
    </row>
    <row r="1543" ht="12.75" customHeight="1">
      <c r="A1543" t="inlineStr">
        <is>
          <t>ลือ แว่น XR Samsung เตรียมเปิดตัวสิ้นปีนี้</t>
        </is>
      </c>
      <c r="B1543" t="inlineStr">
        <is>
          <t>Saktaphat Kordjan</t>
        </is>
      </c>
      <c r="C1543" s="2">
        <v>45827</v>
      </c>
      <c r="D1543" s="2"/>
      <c r="E1543" t="inlineStr">
        <is>
          <t>ปกติ</t>
        </is>
      </c>
      <c r="F1543" s="3"/>
      <c r="G1543"/>
      <c r="H1543" t="inlineStr">
        <is>
          <t>Website</t>
        </is>
      </c>
      <c r="I1543" t="inlineStr">
        <is>
          <t>งานประจำวัน</t>
        </is>
      </c>
      <c r="J1543" t="inlineStr">
        <is>
          <t>Done</t>
        </is>
      </c>
      <c r="K1543"/>
      <c r="L1543" s="3"/>
      <c r="M1543" t="inlineStr">
        <is>
          <t>1</t>
        </is>
      </c>
      <c r="N1543" t="inlineStr">
        <is>
          <t>Tech, Android</t>
        </is>
      </c>
      <c r="O1543"/>
    </row>
    <row r="1544" ht="12.75" customHeight="1">
      <c r="A1544" t="inlineStr">
        <is>
          <t>iPadOS 26 อัปเดตแอปไฟล์!</t>
        </is>
      </c>
      <c r="B1544" t="inlineStr">
        <is>
          <t>Nattida Suriyodara,Sasithakan Sritonthip</t>
        </is>
      </c>
      <c r="C1544" s="2">
        <v>45827</v>
      </c>
      <c r="D1544" s="2"/>
      <c r="E1544" t="inlineStr">
        <is>
          <t>ปกติ</t>
        </is>
      </c>
      <c r="F1544" s="3"/>
      <c r="G1544"/>
      <c r="H1544" t="inlineStr">
        <is>
          <t>Shorts</t>
        </is>
      </c>
      <c r="I1544" t="inlineStr">
        <is>
          <t>งานประจำวัน</t>
        </is>
      </c>
      <c r="J1544" t="inlineStr">
        <is>
          <t>Done</t>
        </is>
      </c>
      <c r="K1544"/>
      <c r="L1544" s="3"/>
      <c r="M1544" t="inlineStr">
        <is>
          <t>1</t>
        </is>
      </c>
      <c r="N1544" t="inlineStr">
        <is>
          <t>Apple</t>
        </is>
      </c>
      <c r="O1544"/>
    </row>
    <row r="1545" ht="12.75" customHeight="1">
      <c r="A1545" t="inlineStr">
        <is>
          <t>จีนพัฒนาชิปที่ใช้ในแว่น AR สำเร็จแล้ว</t>
        </is>
      </c>
      <c r="B1545" t="inlineStr">
        <is>
          <t>Saktaphat Kordjan</t>
        </is>
      </c>
      <c r="C1545" s="2">
        <v>45827</v>
      </c>
      <c r="D1545" s="2"/>
      <c r="E1545" t="inlineStr">
        <is>
          <t>ปกติ</t>
        </is>
      </c>
      <c r="F1545" s="3"/>
      <c r="G1545"/>
      <c r="H1545" t="inlineStr">
        <is>
          <t>Website</t>
        </is>
      </c>
      <c r="I1545" t="inlineStr">
        <is>
          <t>งานประจำวัน</t>
        </is>
      </c>
      <c r="J1545" t="inlineStr">
        <is>
          <t>Done</t>
        </is>
      </c>
      <c r="K1545"/>
      <c r="L1545" s="3"/>
      <c r="M1545" t="inlineStr">
        <is>
          <t>1</t>
        </is>
      </c>
      <c r="N1545" t="inlineStr">
        <is>
          <t>Tech</t>
        </is>
      </c>
      <c r="O1545"/>
    </row>
    <row r="1546" ht="12.75" customHeight="1">
      <c r="A1546" t="inlineStr">
        <is>
          <t>หลุดภาพเรนเดอร์ Galaxy Watch 8 และ Watch Ultra 2</t>
        </is>
      </c>
      <c r="B1546" t="inlineStr">
        <is>
          <t>Saktaphat Kordjan</t>
        </is>
      </c>
      <c r="C1546" s="2">
        <v>45827</v>
      </c>
      <c r="D1546" s="2"/>
      <c r="E1546" t="inlineStr">
        <is>
          <t>ปกติ</t>
        </is>
      </c>
      <c r="F1546" s="3" t="str">
        <f>=HYPERLINK("https://www.gsmarena.com/samsung_galaxy_watch_8_series_and_watch_ultra_2_leak_in_new_set_of_renders-news-68281.php", "https://www.gsmarena.com/samsung_galaxy_watch_8_series_and_watch_ultra_2_leak_in_new_set_of_renders-news-68281.php")</f>
        <v>https://www.gsmarena.com/samsung_galaxy_watch_8_series_and_watch_ultra_2_leak_in_new_set_of_renders-news-68281.php</v>
      </c>
      <c r="G1546"/>
      <c r="H1546" t="inlineStr">
        <is>
          <t>Website</t>
        </is>
      </c>
      <c r="I1546" t="inlineStr">
        <is>
          <t>งานประจำวัน</t>
        </is>
      </c>
      <c r="J1546" t="inlineStr">
        <is>
          <t>Done</t>
        </is>
      </c>
      <c r="K1546"/>
      <c r="L1546" s="3"/>
      <c r="M1546" t="inlineStr">
        <is>
          <t>1</t>
        </is>
      </c>
      <c r="N1546" t="inlineStr">
        <is>
          <t>Android</t>
        </is>
      </c>
      <c r="O1546"/>
    </row>
    <row r="1547" ht="12.75" customHeight="1">
      <c r="A1547" t="inlineStr">
        <is>
          <t>AIS ยกระดับ "AIS PLAY" สู่ศูนย์กลางความบันเทิงและกีฬาอันดับ 1 ของไทย 
</t>
        </is>
      </c>
      <c r="B1547" t="inlineStr">
        <is>
          <t>Thitirath Kinaret</t>
        </is>
      </c>
      <c r="C1547" s="2">
        <v>45827</v>
      </c>
      <c r="D1547" s="2">
        <v>45827</v>
      </c>
      <c r="E1547" t="inlineStr">
        <is>
          <t>ปกติ</t>
        </is>
      </c>
      <c r="F1547" s="3"/>
      <c r="G1547"/>
      <c r="H1547" t="inlineStr">
        <is>
          <t>Pic Posts / Album</t>
        </is>
      </c>
      <c r="I1547" t="inlineStr">
        <is>
          <t>งานลูกค้า</t>
        </is>
      </c>
      <c r="J1547" t="inlineStr">
        <is>
          <t>Done</t>
        </is>
      </c>
      <c r="K1547"/>
      <c r="L1547" s="3" t="str">
        <f>=HYPERLINK("https://www.facebook.com/iPhonemod/posts/pfbid09SjZC6dLWmUtPUqEn929poU3XiNpg1BWhJScUf54sH3rH9YPpT6Q2ABtrdMhHbyRl?__cft__[0]=AZWFMt0IqfhdIKftkuGoAazp-T-M2tzEuwLDan6z6KkToIw52rhxB8GjsWVfLaV63SJXrzzGgohBNlmRWbqQk_3kv8bJhBTBONgacioTTY_aPfJsvyA5Bol5hZcmxCmTYvJL-EbsZKpzdlr1ORD_M7bOVsRyb0V-vD1NYg4hG-DzgfCFRLLgFcLvabIsfvoW3CusY6BEfjwFRiCmpsXWqE7b&amp;__tn__=%2CO%2CP-R", "https://www.facebook.com/iPhonemod/posts/pfbid09SjZC6dLWmUtPUqEn929poU3XiNpg1BWhJScUf54sH3rH9YPpT6Q2ABtrdMhHbyRl?__cft__[0]=AZWFMt0IqfhdIKftkuGoAazp-T-M2tzEuwLDan6z6KkToIw52rhxB8GjsWVfLaV63SJXrzzGgohBNlmRWbqQk_3kv8bJhBTBONgacioTTY_aPfJsvyA5Bol5hZcmxCmTYvJL-EbsZKpzdlr1ORD_M7bOVsRyb0V-vD1NYg4hG-DzgfCFRLLgFcLvabIsfvoW3CusY6BEfjwFRiCmpsXWqE7b&amp;__tn__=%2CO%2CP-R")</f>
        <v>https://www.facebook.com/iPhonemod/posts/pfbid09SjZC6dLWmUtPUqEn929poU3XiNpg1BWhJScUf54sH3rH9YPpT6Q2ABtrdMhHbyRl?__cft__[0]=AZWFMt0IqfhdIKftkuGoAazp-T-M2tzEuwLDan6z6KkToIw52rhxB8GjsWVfLaV63SJXrzzGgohBNlmRWbqQk_3kv8bJhBTBONgacioTTY_aPfJsvyA5Bol5hZcmxCmTYvJL-EbsZKpzdlr1ORD_M7bOVsRyb0V-vD1NYg4hG-DzgfCFRLLgFcLvabIsfvoW3CusY6BEfjwFRiCmpsXWqE7b&amp;__tn__=%2CO%2CP-R</v>
      </c>
      <c r="M1547" t="inlineStr">
        <is>
          <t>1</t>
        </is>
      </c>
      <c r="N1547" t="inlineStr">
        <is>
          <t>PR, ทั่วไป</t>
        </is>
      </c>
      <c r="O1547"/>
    </row>
    <row r="1548" ht="12.75" customHeight="1">
      <c r="A1548" t="inlineStr">
        <is>
          <t>iPadOS 26 Live translation</t>
        </is>
      </c>
      <c r="B1548" t="inlineStr">
        <is>
          <t>Nattida Suriyodara,Krongkwun  Rithiwong</t>
        </is>
      </c>
      <c r="C1548" s="2">
        <v>45827</v>
      </c>
      <c r="D1548" s="2"/>
      <c r="E1548"/>
      <c r="F1548" s="3"/>
      <c r="G1548"/>
      <c r="H1548" t="inlineStr">
        <is>
          <t>Shorts</t>
        </is>
      </c>
      <c r="I1548" t="inlineStr">
        <is>
          <t>งานประจำวัน</t>
        </is>
      </c>
      <c r="J1548" t="inlineStr">
        <is>
          <t>Done</t>
        </is>
      </c>
      <c r="K1548"/>
      <c r="L1548" s="3"/>
      <c r="M1548" t="inlineStr">
        <is>
          <t>1</t>
        </is>
      </c>
      <c r="N1548" t="inlineStr">
        <is>
          <t>Apple</t>
        </is>
      </c>
      <c r="O1548"/>
    </row>
    <row r="1549" ht="12.75" customHeight="1">
      <c r="A1549" t="inlineStr">
        <is>
          <t xml:space="preserve">Q&amp;A Back to School </t>
        </is>
      </c>
      <c r="B1549" t="inlineStr">
        <is>
          <t>Saktaphat Kordjan</t>
        </is>
      </c>
      <c r="C1549" s="2">
        <v>45826</v>
      </c>
      <c r="D1549" s="2"/>
      <c r="E1549" t="inlineStr">
        <is>
          <t>ปกติ</t>
        </is>
      </c>
      <c r="F1549" s="3"/>
      <c r="G1549"/>
      <c r="H1549" t="inlineStr">
        <is>
          <t>YouTube</t>
        </is>
      </c>
      <c r="I1549" t="inlineStr">
        <is>
          <t>งานประจำวัน, เสนอไอเดีย</t>
        </is>
      </c>
      <c r="J1549" t="inlineStr">
        <is>
          <t>Done</t>
        </is>
      </c>
      <c r="K1549"/>
      <c r="L1549" s="3"/>
      <c r="M1549" t="inlineStr">
        <is>
          <t>1</t>
        </is>
      </c>
      <c r="N1549" t="inlineStr">
        <is>
          <t>Apple</t>
        </is>
      </c>
      <c r="O1549"/>
    </row>
    <row r="1550" ht="12.75" customHeight="1">
      <c r="A1550" t="inlineStr">
        <is>
          <t xml:space="preserve">สิทธิพิเศษ BTS 2025 </t>
        </is>
      </c>
      <c r="B1550" t="inlineStr">
        <is>
          <t>Nattida Suriyodara,Sasithakan Sritonthip</t>
        </is>
      </c>
      <c r="C1550" s="2">
        <v>45826</v>
      </c>
      <c r="D1550" s="2"/>
      <c r="E1550" t="inlineStr">
        <is>
          <t>ปกติ</t>
        </is>
      </c>
      <c r="F1550" s="3"/>
      <c r="G1550"/>
      <c r="H1550" t="inlineStr">
        <is>
          <t>Shorts</t>
        </is>
      </c>
      <c r="I1550" t="inlineStr">
        <is>
          <t>งานประจำวัน</t>
        </is>
      </c>
      <c r="J1550" t="inlineStr">
        <is>
          <t>Done</t>
        </is>
      </c>
      <c r="K1550"/>
      <c r="L1550" s="3"/>
      <c r="M1550" t="inlineStr">
        <is>
          <t>1</t>
        </is>
      </c>
      <c r="N1550" t="inlineStr">
        <is>
          <t>Apple</t>
        </is>
      </c>
      <c r="O1550"/>
    </row>
    <row r="1551" ht="12.75" customHeight="1">
      <c r="A1551" t="inlineStr">
        <is>
          <t>Back to School 2025 ซื้อสินค้าอะไรดี + เลือกของแถมยังไงให้คุ้ม</t>
        </is>
      </c>
      <c r="B1551" t="inlineStr">
        <is>
          <t>Thitirath Kinaret,Nattida Suriyodara</t>
        </is>
      </c>
      <c r="C1551" s="2">
        <v>45826</v>
      </c>
      <c r="D1551" s="2"/>
      <c r="E1551" t="inlineStr">
        <is>
          <t>ปกติ</t>
        </is>
      </c>
      <c r="F1551" s="3"/>
      <c r="G1551"/>
      <c r="H1551" t="inlineStr">
        <is>
          <t>YouTube</t>
        </is>
      </c>
      <c r="I1551" t="inlineStr">
        <is>
          <t>งานประจำวัน</t>
        </is>
      </c>
      <c r="J1551" t="inlineStr">
        <is>
          <t>Done</t>
        </is>
      </c>
      <c r="K1551"/>
      <c r="L1551" s="3"/>
      <c r="M1551" t="inlineStr">
        <is>
          <t>1</t>
        </is>
      </c>
      <c r="N1551" t="inlineStr">
        <is>
          <t>Apple</t>
        </is>
      </c>
      <c r="O1551"/>
    </row>
    <row r="1552" ht="12.75" customHeight="1">
      <c r="A1552" t="inlineStr">
        <is>
          <t xml:space="preserve">รวมคำถามยอดฮิต Back to School </t>
        </is>
      </c>
      <c r="B1552" t="inlineStr">
        <is>
          <t>Saktaphat Kordjan</t>
        </is>
      </c>
      <c r="C1552" s="2">
        <v>45826</v>
      </c>
      <c r="D1552" s="2"/>
      <c r="E1552" t="inlineStr">
        <is>
          <t>ปกติ</t>
        </is>
      </c>
      <c r="F1552" s="3"/>
      <c r="G1552"/>
      <c r="H1552" t="inlineStr">
        <is>
          <t>Shorts</t>
        </is>
      </c>
      <c r="I1552" t="inlineStr">
        <is>
          <t>งานประจำวัน</t>
        </is>
      </c>
      <c r="J1552" t="inlineStr">
        <is>
          <t>Done</t>
        </is>
      </c>
      <c r="K1552"/>
      <c r="L1552" s="3"/>
      <c r="M1552" t="inlineStr">
        <is>
          <t>1</t>
        </is>
      </c>
      <c r="N1552" t="inlineStr">
        <is>
          <t>Apple</t>
        </is>
      </c>
      <c r="O1552"/>
    </row>
    <row r="1553" ht="12.75" customHeight="1">
      <c r="A1553" t="inlineStr">
        <is>
          <t>ราคา iPad เพื่อการศึกษา vs. ราคาปกติ อัปเดต (มิ.ย. 2025)</t>
        </is>
      </c>
      <c r="B1553" t="inlineStr">
        <is>
          <t>Sasithakan Sritonthip</t>
        </is>
      </c>
      <c r="C1553" s="2">
        <v>45826</v>
      </c>
      <c r="D1553" s="2"/>
      <c r="E1553" t="inlineStr">
        <is>
          <t>ปกติ</t>
        </is>
      </c>
      <c r="F1553" s="3"/>
      <c r="G1553"/>
      <c r="H1553" t="inlineStr">
        <is>
          <t>Website</t>
        </is>
      </c>
      <c r="I1553" t="inlineStr">
        <is>
          <t>งานประจำวัน</t>
        </is>
      </c>
      <c r="J1553" t="inlineStr">
        <is>
          <t>Done</t>
        </is>
      </c>
      <c r="K1553"/>
      <c r="L1553" s="3" t="str">
        <f>=HYPERLINK("https://www.iphonemod.net/ipad-education-price-update-june-2025.html", "https://www.iphonemod.net/ipad-education-price-update-june-2025.html")</f>
        <v>https://www.iphonemod.net/ipad-education-price-update-june-2025.html</v>
      </c>
      <c r="M1553" t="inlineStr">
        <is>
          <t>1</t>
        </is>
      </c>
      <c r="N1553" t="inlineStr">
        <is>
          <t>Apple</t>
        </is>
      </c>
      <c r="O1553"/>
    </row>
    <row r="1554" ht="12.75" customHeight="1">
      <c r="A1554" t="inlineStr">
        <is>
          <t xml:space="preserve">Nothing Phone (3) จะได้อัปเดตนาน 7 ปี </t>
        </is>
      </c>
      <c r="B1554" t="inlineStr">
        <is>
          <t>Saktaphat Kordjan</t>
        </is>
      </c>
      <c r="C1554" s="2">
        <v>45826</v>
      </c>
      <c r="D1554" s="2"/>
      <c r="E1554" t="inlineStr">
        <is>
          <t>ปกติ</t>
        </is>
      </c>
      <c r="F1554" s="3" t="str">
        <f>=HYPERLINK("https://www.gsmarena.com/nothing_phone_3_will_have_7_years_of_software_support-news-68298.php", "https://www.gsmarena.com/nothing_phone_3_will_have_7_years_of_software_support-news-68298.php")</f>
        <v>https://www.gsmarena.com/nothing_phone_3_will_have_7_years_of_software_support-news-68298.php</v>
      </c>
      <c r="G1554"/>
      <c r="H1554" t="inlineStr">
        <is>
          <t>Website</t>
        </is>
      </c>
      <c r="I1554" t="inlineStr">
        <is>
          <t>งานประจำวัน</t>
        </is>
      </c>
      <c r="J1554" t="inlineStr">
        <is>
          <t>Done</t>
        </is>
      </c>
      <c r="K1554"/>
      <c r="L1554" s="3"/>
      <c r="M1554" t="inlineStr">
        <is>
          <t>1</t>
        </is>
      </c>
      <c r="N1554" t="inlineStr">
        <is>
          <t>Android</t>
        </is>
      </c>
      <c r="O1554"/>
    </row>
    <row r="1555" ht="12.75" customHeight="1">
      <c r="A1555" t="inlineStr">
        <is>
          <t xml:space="preserve">สรุปข่าวไอที </t>
        </is>
      </c>
      <c r="B1555" t="inlineStr">
        <is>
          <t>Saktaphat Kordjan</t>
        </is>
      </c>
      <c r="C1555" s="2">
        <v>45826</v>
      </c>
      <c r="D1555" s="2"/>
      <c r="E1555" t="inlineStr">
        <is>
          <t>ปกติ</t>
        </is>
      </c>
      <c r="F1555" s="3"/>
      <c r="G1555"/>
      <c r="H1555" t="inlineStr">
        <is>
          <t>YouTube</t>
        </is>
      </c>
      <c r="I1555" t="inlineStr">
        <is>
          <t>งานประจำวัน</t>
        </is>
      </c>
      <c r="J1555" t="inlineStr">
        <is>
          <t>Done</t>
        </is>
      </c>
      <c r="K1555"/>
      <c r="L1555" s="3"/>
      <c r="M1555" t="inlineStr">
        <is>
          <t>1</t>
        </is>
      </c>
      <c r="N1555" t="inlineStr">
        <is>
          <t>Android, Tech</t>
        </is>
      </c>
      <c r="O1555"/>
    </row>
    <row r="1556" ht="12.75" customHeight="1">
      <c r="A1556" t="inlineStr">
        <is>
          <t>iPhone บันทึกเสียงโทรได้ในตัว</t>
        </is>
      </c>
      <c r="B1556" t="inlineStr">
        <is>
          <t>Thitirath Kinaret</t>
        </is>
      </c>
      <c r="C1556" s="2">
        <v>45826</v>
      </c>
      <c r="D1556" s="2">
        <v>45826</v>
      </c>
      <c r="E1556" t="inlineStr">
        <is>
          <t>ปกติ</t>
        </is>
      </c>
      <c r="F1556" s="3"/>
      <c r="G1556"/>
      <c r="H1556" t="inlineStr">
        <is>
          <t>Pic Posts / Album</t>
        </is>
      </c>
      <c r="I1556" t="inlineStr">
        <is>
          <t>งานประจำวัน</t>
        </is>
      </c>
      <c r="J1556" t="inlineStr">
        <is>
          <t>Done</t>
        </is>
      </c>
      <c r="K1556"/>
      <c r="L1556" s="3" t="str">
        <f>=HYPERLINK("https://www.facebook.com/iPhonemod/posts/pfbid037iFxdxqFiAmoZGHqjSh5dq2Fgd5sj6T6WPiKCwfPModkRwfhSFse74nnjHgvDuCol?__cft__[0]=AZVC5yV-gs_tzJ26fE-W1MykF1YpOrhxrNEnmvHDklmmx6SEr6zJsSJVHEVjqAuCiRTr0OjwEabHXMYgNnRyWDQgGP6whKs-hIpIu2LmYiK5w84iJoOC2RDhXaziFsAQwVjltLQglgxIJH2HOX23vWHAb8iczMxDbITL7WfB3uWt77oL9kpKhd3z20cHCiMmTqA7kv6cvufWZ8WCuqhMphit&amp;__tn__=%2CO%2CP-R", "https://www.facebook.com/iPhonemod/posts/pfbid037iFxdxqFiAmoZGHqjSh5dq2Fgd5sj6T6WPiKCwfPModkRwfhSFse74nnjHgvDuCol?__cft__[0]=AZVC5yV-gs_tzJ26fE-W1MykF1YpOrhxrNEnmvHDklmmx6SEr6zJsSJVHEVjqAuCiRTr0OjwEabHXMYgNnRyWDQgGP6whKs-hIpIu2LmYiK5w84iJoOC2RDhXaziFsAQwVjltLQglgxIJH2HOX23vWHAb8iczMxDbITL7WfB3uWt77oL9kpKhd3z20cHCiMmTqA7kv6cvufWZ8WCuqhMphit&amp;__tn__=%2CO%2CP-R")</f>
        <v>https://www.facebook.com/iPhonemod/posts/pfbid037iFxdxqFiAmoZGHqjSh5dq2Fgd5sj6T6WPiKCwfPModkRwfhSFse74nnjHgvDuCol?__cft__[0]=AZVC5yV-gs_tzJ26fE-W1MykF1YpOrhxrNEnmvHDklmmx6SEr6zJsSJVHEVjqAuCiRTr0OjwEabHXMYgNnRyWDQgGP6whKs-hIpIu2LmYiK5w84iJoOC2RDhXaziFsAQwVjltLQglgxIJH2HOX23vWHAb8iczMxDbITL7WfB3uWt77oL9kpKhd3z20cHCiMmTqA7kv6cvufWZ8WCuqhMphit&amp;__tn__=%2CO%2CP-R</v>
      </c>
      <c r="M1556" t="inlineStr">
        <is>
          <t>1</t>
        </is>
      </c>
      <c r="N1556" t="inlineStr">
        <is>
          <t>Apple</t>
        </is>
      </c>
      <c r="O1556"/>
    </row>
    <row r="1557" ht="12.75" customHeight="1">
      <c r="A1557" t="inlineStr">
        <is>
          <t>วิดีโอทั้งหมดที่อัปโหลดใน Facebook ทั้งคลิปสั้น คลิปยาว จะกลายเป็น Reels ทั้งหมด</t>
        </is>
      </c>
      <c r="B1557" t="inlineStr">
        <is>
          <t>Thitirath Kinaret</t>
        </is>
      </c>
      <c r="C1557" s="2">
        <v>45826</v>
      </c>
      <c r="D1557" s="2">
        <v>45826</v>
      </c>
      <c r="E1557" t="inlineStr">
        <is>
          <t>ปกติ</t>
        </is>
      </c>
      <c r="F1557" s="3"/>
      <c r="G1557"/>
      <c r="H1557" t="inlineStr">
        <is>
          <t>Pic Posts / Album</t>
        </is>
      </c>
      <c r="I1557" t="inlineStr">
        <is>
          <t>งานประจำวัน</t>
        </is>
      </c>
      <c r="J1557" t="inlineStr">
        <is>
          <t>Done</t>
        </is>
      </c>
      <c r="K1557"/>
      <c r="L1557" s="3" t="str">
        <f>=HYPERLINK("https://www.facebook.com/iPhonemod/posts/pfbid0dmoPVEcbqLwuRc1WvFWJfuAP6PP73EWUcWQBywv3LWYqZMge7EuoGABZTXXTDZ3El?__cft__[0]=AZV8TY8MvIWu-6X2dgcMkCEmLfFEzZ38XvHB64Rwn1S55kolLf0IXlMj7YGAzUar3kWud_deM3f6xpf8oFYyOLh7qTgPuwSn8fMJQ92m4f9pAUnm2i1z7Mh7vYJYhj_l8zSqhDWa32KeJ9iEQ8bF4e18xt2dZBtazTQ_tUR8U7BxV911U1ZZ4u_7VyQZYTaxvVD8Mnalx1WvnlFMcb-Okq9L&amp;__tn__=%2CO%2CP-R", "https://www.facebook.com/iPhonemod/posts/pfbid0dmoPVEcbqLwuRc1WvFWJfuAP6PP73EWUcWQBywv3LWYqZMge7EuoGABZTXXTDZ3El?__cft__[0]=AZV8TY8MvIWu-6X2dgcMkCEmLfFEzZ38XvHB64Rwn1S55kolLf0IXlMj7YGAzUar3kWud_deM3f6xpf8oFYyOLh7qTgPuwSn8fMJQ92m4f9pAUnm2i1z7Mh7vYJYhj_l8zSqhDWa32KeJ9iEQ8bF4e18xt2dZBtazTQ_tUR8U7BxV911U1ZZ4u_7VyQZYTaxvVD8Mnalx1WvnlFMcb-Okq9L&amp;__tn__=%2CO%2CP-R")</f>
        <v>https://www.facebook.com/iPhonemod/posts/pfbid0dmoPVEcbqLwuRc1WvFWJfuAP6PP73EWUcWQBywv3LWYqZMge7EuoGABZTXXTDZ3El?__cft__[0]=AZV8TY8MvIWu-6X2dgcMkCEmLfFEzZ38XvHB64Rwn1S55kolLf0IXlMj7YGAzUar3kWud_deM3f6xpf8oFYyOLh7qTgPuwSn8fMJQ92m4f9pAUnm2i1z7Mh7vYJYhj_l8zSqhDWa32KeJ9iEQ8bF4e18xt2dZBtazTQ_tUR8U7BxV911U1ZZ4u_7VyQZYTaxvVD8Mnalx1WvnlFMcb-Okq9L&amp;__tn__=%2CO%2CP-R</v>
      </c>
      <c r="M1557" t="inlineStr">
        <is>
          <t>1</t>
        </is>
      </c>
      <c r="N1557" t="inlineStr">
        <is>
          <t>Apple</t>
        </is>
      </c>
      <c r="O1557"/>
    </row>
    <row r="1558" ht="12.75" customHeight="1">
      <c r="A1558" t="inlineStr">
        <is>
          <t>Google ออกโฆษณาแซว iOS 26 ก็อปฟีเจอร์ใน Android
</t>
        </is>
      </c>
      <c r="B1558" t="inlineStr">
        <is>
          <t>Thitirath Kinaret</t>
        </is>
      </c>
      <c r="C1558" s="2">
        <v>45826</v>
      </c>
      <c r="D1558" s="2">
        <v>45826</v>
      </c>
      <c r="E1558" t="inlineStr">
        <is>
          <t>ปกติ</t>
        </is>
      </c>
      <c r="F1558" s="3"/>
      <c r="G1558"/>
      <c r="H1558" t="inlineStr">
        <is>
          <t>Website</t>
        </is>
      </c>
      <c r="I1558" t="inlineStr">
        <is>
          <t>งานประจำวัน</t>
        </is>
      </c>
      <c r="J1558" t="inlineStr">
        <is>
          <t>Done</t>
        </is>
      </c>
      <c r="K1558"/>
      <c r="L1558" s="3" t="str">
        <f>=HYPERLINK("https://www.iphonemod.net/google-mock-apple-ios-26-copies-android-feature.html?fbclid=IwY2xjawLASidleHRuA2FlbQIxMQBicmlkETFvTG9Bb0lna0FXSmdqM0pNAR7_0QWdf-VSbhVgdw0giJPmTWuQLKGkuPsKKJeyxa6eI6Yo9Vsw9V_IdUHSuQ_aem_m0pOCi8JiFtg_QIlqJ-kOw", "https://www.iphonemod.net/google-mock-apple-ios-26-copies-android-feature.html?fbclid=IwY2xjawLASidleHRuA2FlbQIxMQBicmlkETFvTG9Bb0lna0FXSmdqM0pNAR7_0QWdf-VSbhVgdw0giJPmTWuQLKGkuPsKKJeyxa6eI6Yo9Vsw9V_IdUHSuQ_aem_m0pOCi8JiFtg_QIlqJ-kOw")</f>
        <v>https://www.iphonemod.net/google-mock-apple-ios-26-copies-android-feature.html?fbclid=IwY2xjawLASidleHRuA2FlbQIxMQBicmlkETFvTG9Bb0lna0FXSmdqM0pNAR7_0QWdf-VSbhVgdw0giJPmTWuQLKGkuPsKKJeyxa6eI6Yo9Vsw9V_IdUHSuQ_aem_m0pOCi8JiFtg_QIlqJ-kOw</v>
      </c>
      <c r="M1558" t="inlineStr">
        <is>
          <t>1</t>
        </is>
      </c>
      <c r="N1558" t="inlineStr">
        <is>
          <t>Android, Apple</t>
        </is>
      </c>
      <c r="O1558"/>
    </row>
    <row r="1559" ht="12.75" customHeight="1">
      <c r="A1559" t="inlineStr">
        <is>
          <t>iOS 26 ผู้ใช้ตั้งค่า Ringtone ได้ง่ายขึ้น</t>
        </is>
      </c>
      <c r="B1559" t="inlineStr">
        <is>
          <t>Thitirath Kinaret</t>
        </is>
      </c>
      <c r="C1559" s="2">
        <v>45826</v>
      </c>
      <c r="D1559" s="2">
        <v>45826</v>
      </c>
      <c r="E1559" t="inlineStr">
        <is>
          <t>ปกติ</t>
        </is>
      </c>
      <c r="F1559" s="3"/>
      <c r="G1559"/>
      <c r="H1559" t="inlineStr">
        <is>
          <t>Website</t>
        </is>
      </c>
      <c r="I1559" t="inlineStr">
        <is>
          <t>งานประจำวัน</t>
        </is>
      </c>
      <c r="J1559" t="inlineStr">
        <is>
          <t>Done</t>
        </is>
      </c>
      <c r="K1559"/>
      <c r="L1559" s="3" t="str">
        <f>=HYPERLINK("https://www.iphonemod.net/ios-26-set-ringtone-with-mp3-files.html", "https://www.iphonemod.net/ios-26-set-ringtone-with-mp3-files.html")</f>
        <v>https://www.iphonemod.net/ios-26-set-ringtone-with-mp3-files.html</v>
      </c>
      <c r="M1559" t="inlineStr">
        <is>
          <t>1</t>
        </is>
      </c>
      <c r="N1559" t="inlineStr">
        <is>
          <t>Apple</t>
        </is>
      </c>
      <c r="O1559"/>
    </row>
    <row r="1560" ht="12.75" customHeight="1">
      <c r="A1560" t="inlineStr">
        <is>
          <t xml:space="preserve">พูดคุยแชร์ประสบการณ์ BTS และ ส่วนลดเพื่อการศึกษา </t>
        </is>
      </c>
      <c r="B1560" t="inlineStr">
        <is>
          <t>Saktaphat Kordjan,Nattida Suriyodara</t>
        </is>
      </c>
      <c r="C1560" s="2">
        <v>45825</v>
      </c>
      <c r="D1560" s="2"/>
      <c r="E1560" t="inlineStr">
        <is>
          <t>ปกติ</t>
        </is>
      </c>
      <c r="F1560" s="3"/>
      <c r="G1560"/>
      <c r="H1560" t="inlineStr">
        <is>
          <t>YouTube</t>
        </is>
      </c>
      <c r="I1560" t="inlineStr">
        <is>
          <t>เสนอไอเดีย</t>
        </is>
      </c>
      <c r="J1560" t="inlineStr">
        <is>
          <t>Done</t>
        </is>
      </c>
      <c r="K1560" t="inlineStr">
        <is>
          <t>พูดคุยประสบการณ์ BTS และ ส่วนลดเพื่อการศึกษา 
เล่า Background ว่า เป็น นศ. จบใหม่ทั้งคู่ มีประสบการณ์ในการใช้ Apple Device ในการเรียน รวมไปถึงประสบการณ์ในการซื้อสินค้าผ่านโปร BTS และ สิทธิ นศ. 
คำถามในพาร์ทนี้
-เคยใช้ BTS หรือ ส่วนลดเพื่อการศึกษาไหม ทำไมถึงเลือก 
-ตอนนั้นซื้อ Device ตัวไหน ทำไมถึงเลือกตัวนี้ 
-เอาไปใช้อะไร รุ่นอะไร 
BTS/ สิทธินศ. มันมีประโยชน์ยังไงกับ นศ .
-ได้อุปกรณ์การเรียนมากขึ้น แต่จ่ายน้อยลง 
-ส่วนลด Apple Care+ 
ประสบการณ์ต่าง ๆ 
-ความล่าช้าในการจัดส่ง เป็นยังไง 
-การรักษาสิทธิของตนเอง 
สรุปจบ 
</t>
        </is>
      </c>
      <c r="L1560" s="3"/>
      <c r="M1560" t="inlineStr">
        <is>
          <t>1</t>
        </is>
      </c>
      <c r="N1560" t="inlineStr">
        <is>
          <t>Apple</t>
        </is>
      </c>
      <c r="O1560"/>
    </row>
    <row r="1561" ht="12.75" customHeight="1">
      <c r="A1561" t="inlineStr">
        <is>
          <t xml:space="preserve">รายการสินค้าที่เข้าร่วม Back to school </t>
        </is>
      </c>
      <c r="B1561" t="inlineStr">
        <is>
          <t>Nattida Suriyodara,Sasithakan Sritonthip</t>
        </is>
      </c>
      <c r="C1561" s="2">
        <v>45825</v>
      </c>
      <c r="D1561" s="2"/>
      <c r="E1561" t="inlineStr">
        <is>
          <t>ด่วน!</t>
        </is>
      </c>
      <c r="F1561" s="3"/>
      <c r="G1561"/>
      <c r="H1561" t="inlineStr">
        <is>
          <t>Shorts</t>
        </is>
      </c>
      <c r="I1561" t="inlineStr">
        <is>
          <t>งานประจำวัน</t>
        </is>
      </c>
      <c r="J1561" t="inlineStr">
        <is>
          <t>Done</t>
        </is>
      </c>
      <c r="K1561"/>
      <c r="L1561" s="3"/>
      <c r="M1561" t="inlineStr">
        <is>
          <t>1</t>
        </is>
      </c>
      <c r="N1561" t="inlineStr">
        <is>
          <t>Apple</t>
        </is>
      </c>
      <c r="O1561"/>
    </row>
    <row r="1562" ht="12.75" customHeight="1">
      <c r="A1562" t="inlineStr">
        <is>
          <t xml:space="preserve">Beauty Cam AI เปลี่ยนชุด </t>
        </is>
      </c>
      <c r="B1562" t="inlineStr">
        <is>
          <t>Nattida Suriyodara</t>
        </is>
      </c>
      <c r="C1562" s="2">
        <v>45825</v>
      </c>
      <c r="D1562" s="2"/>
      <c r="E1562" t="inlineStr">
        <is>
          <t>ปกติ</t>
        </is>
      </c>
      <c r="F1562" s="3"/>
      <c r="G1562"/>
      <c r="H1562" t="inlineStr">
        <is>
          <t>Shorts</t>
        </is>
      </c>
      <c r="I1562" t="inlineStr">
        <is>
          <t>งานประจำวัน</t>
        </is>
      </c>
      <c r="J1562" t="inlineStr">
        <is>
          <t>Done</t>
        </is>
      </c>
      <c r="K1562" t="inlineStr">
        <is>
          <t>Ver. ใหม่</t>
        </is>
      </c>
      <c r="L1562" s="3"/>
      <c r="M1562" t="inlineStr">
        <is>
          <t>1</t>
        </is>
      </c>
      <c r="N1562" t="inlineStr">
        <is>
          <t>AI</t>
        </is>
      </c>
      <c r="O1562"/>
    </row>
    <row r="1563" ht="12.75" customHeight="1">
      <c r="A1563" t="inlineStr">
        <is>
          <t>Meta เตรียมประกาศแว่นตาอัจฉริยะในชื่อ Oakley</t>
        </is>
      </c>
      <c r="B1563" t="inlineStr">
        <is>
          <t>Saktaphat Kordjan</t>
        </is>
      </c>
      <c r="C1563" s="2">
        <v>45825</v>
      </c>
      <c r="D1563" s="2"/>
      <c r="E1563" t="inlineStr">
        <is>
          <t>ปกติ</t>
        </is>
      </c>
      <c r="F1563" s="3" t="str">
        <f>=HYPERLINK("https://www.macrumors.com/2025/06/16/meta-oakley-smart-glasses/", "https://www.macrumors.com/2025/06/16/meta-oakley-smart-glasses/")</f>
        <v>https://www.macrumors.com/2025/06/16/meta-oakley-smart-glasses/</v>
      </c>
      <c r="G1563"/>
      <c r="H1563" t="inlineStr">
        <is>
          <t>Website, Shorts</t>
        </is>
      </c>
      <c r="I1563" t="inlineStr">
        <is>
          <t>งานประจำวัน</t>
        </is>
      </c>
      <c r="J1563" t="inlineStr">
        <is>
          <t>Done</t>
        </is>
      </c>
      <c r="K1563"/>
      <c r="L1563" s="3"/>
      <c r="M1563" t="inlineStr">
        <is>
          <t>1</t>
        </is>
      </c>
      <c r="N1563" t="inlineStr">
        <is>
          <t>Tech</t>
        </is>
      </c>
      <c r="O1563"/>
    </row>
    <row r="1564" ht="12.75" customHeight="1">
      <c r="A1564" t="inlineStr">
        <is>
          <t>Back to School 2025 มาแล้ว</t>
        </is>
      </c>
      <c r="B1564" t="inlineStr">
        <is>
          <t>Nattida Suriyodara</t>
        </is>
      </c>
      <c r="C1564" s="2">
        <v>45825</v>
      </c>
      <c r="D1564" s="2"/>
      <c r="E1564" t="inlineStr">
        <is>
          <t xml:space="preserve">ด่วนมาก! </t>
        </is>
      </c>
      <c r="F1564" s="3"/>
      <c r="G1564"/>
      <c r="H1564" t="inlineStr">
        <is>
          <t>YouTube</t>
        </is>
      </c>
      <c r="I1564" t="inlineStr">
        <is>
          <t>งานประจำวัน</t>
        </is>
      </c>
      <c r="J1564" t="inlineStr">
        <is>
          <t>Done</t>
        </is>
      </c>
      <c r="K1564"/>
      <c r="L1564" s="3"/>
      <c r="M1564" t="inlineStr">
        <is>
          <t>1</t>
        </is>
      </c>
      <c r="N1564" t="inlineStr">
        <is>
          <t>Apple</t>
        </is>
      </c>
      <c r="O1564"/>
    </row>
    <row r="1565" ht="12.75" customHeight="1">
      <c r="A1565" t="inlineStr">
        <is>
          <t>เช็คลิสต์สินค้าค้าที่เข้าร่วม BTS 2025</t>
        </is>
      </c>
      <c r="B1565" t="inlineStr">
        <is>
          <t>Nattida Suriyodara,Sasithakan Sritonthip</t>
        </is>
      </c>
      <c r="C1565" s="2">
        <v>45825</v>
      </c>
      <c r="D1565" s="2"/>
      <c r="E1565" t="inlineStr">
        <is>
          <t xml:space="preserve">ด่วนมาก! </t>
        </is>
      </c>
      <c r="F1565" s="3"/>
      <c r="G1565"/>
      <c r="H1565" t="inlineStr">
        <is>
          <t>Shorts</t>
        </is>
      </c>
      <c r="I1565" t="inlineStr">
        <is>
          <t>งานประจำวัน</t>
        </is>
      </c>
      <c r="J1565" t="inlineStr">
        <is>
          <t>Done</t>
        </is>
      </c>
      <c r="K1565"/>
      <c r="L1565" s="3"/>
      <c r="M1565" t="inlineStr">
        <is>
          <t>1</t>
        </is>
      </c>
      <c r="N1565" t="inlineStr">
        <is>
          <t>Apple</t>
        </is>
      </c>
      <c r="O1565"/>
    </row>
    <row r="1566" ht="12.75" customHeight="1">
      <c r="A1566" t="inlineStr">
        <is>
          <t>คาดการณ์สินค้าที่อาจร่วมโปรฯ Back to School ปี 2025</t>
        </is>
      </c>
      <c r="B1566" t="inlineStr">
        <is>
          <t>Thitirath Kinaret</t>
        </is>
      </c>
      <c r="C1566" s="2">
        <v>45825</v>
      </c>
      <c r="D1566" s="2">
        <v>45825</v>
      </c>
      <c r="E1566" t="inlineStr">
        <is>
          <t>ปกติ</t>
        </is>
      </c>
      <c r="F1566" s="3"/>
      <c r="G1566"/>
      <c r="H1566" t="inlineStr">
        <is>
          <t>Pic Posts / Album</t>
        </is>
      </c>
      <c r="I1566" t="inlineStr">
        <is>
          <t>งานประจำวัน</t>
        </is>
      </c>
      <c r="J1566" t="inlineStr">
        <is>
          <t>Done</t>
        </is>
      </c>
      <c r="K1566"/>
      <c r="L1566" s="3" t="str">
        <f>=HYPERLINK("https://www.facebook.com/iPhonemod/posts/pfbid02oTTyUdQ3VJ5eaHLbRfWXqVs43fZppiu11KUF5DKuG4spqvBEQfKfCHi8k9UCU7Dnl?__cft__[0]=AZUD6UL4yztJwjAQfG1tecnLsN6XFwBPj9tekS5kWmK5t1oG7gJo1YN1ZYWX8udM0VWTfB7awYRvar3MQLJTb3TGBxUGPxxUai0tfOH3BTzFm1VXDI0V-jDeH5qu4fjZgatXQujwAPVQ5d0keUyzLUs2vYWQCeqwicR2CLHt8wU3PpMy6UPaOYf8hk3NNY27MKZ3ivqiISvgIly9VyCJsJF4&amp;__tn__=%2CO%2CP-R", "https://www.facebook.com/iPhonemod/posts/pfbid02oTTyUdQ3VJ5eaHLbRfWXqVs43fZppiu11KUF5DKuG4spqvBEQfKfCHi8k9UCU7Dnl?__cft__[0]=AZUD6UL4yztJwjAQfG1tecnLsN6XFwBPj9tekS5kWmK5t1oG7gJo1YN1ZYWX8udM0VWTfB7awYRvar3MQLJTb3TGBxUGPxxUai0tfOH3BTzFm1VXDI0V-jDeH5qu4fjZgatXQujwAPVQ5d0keUyzLUs2vYWQCeqwicR2CLHt8wU3PpMy6UPaOYf8hk3NNY27MKZ3ivqiISvgIly9VyCJsJF4&amp;__tn__=%2CO%2CP-R")</f>
        <v>https://www.facebook.com/iPhonemod/posts/pfbid02oTTyUdQ3VJ5eaHLbRfWXqVs43fZppiu11KUF5DKuG4spqvBEQfKfCHi8k9UCU7Dnl?__cft__[0]=AZUD6UL4yztJwjAQfG1tecnLsN6XFwBPj9tekS5kWmK5t1oG7gJo1YN1ZYWX8udM0VWTfB7awYRvar3MQLJTb3TGBxUGPxxUai0tfOH3BTzFm1VXDI0V-jDeH5qu4fjZgatXQujwAPVQ5d0keUyzLUs2vYWQCeqwicR2CLHt8wU3PpMy6UPaOYf8hk3NNY27MKZ3ivqiISvgIly9VyCJsJF4&amp;__tn__=%2CO%2CP-R</v>
      </c>
      <c r="M1566" t="inlineStr">
        <is>
          <t>1</t>
        </is>
      </c>
      <c r="N1566" t="inlineStr">
        <is>
          <t>Apple</t>
        </is>
      </c>
      <c r="O1566"/>
    </row>
    <row r="1567" ht="12.75" customHeight="1">
      <c r="A1567" t="inlineStr">
        <is>
          <t>Back to School 2025 มาแล้ว!</t>
        </is>
      </c>
      <c r="B1567" t="inlineStr">
        <is>
          <t>Thitirath Kinaret</t>
        </is>
      </c>
      <c r="C1567" s="2">
        <v>45825</v>
      </c>
      <c r="D1567" s="2">
        <v>45825</v>
      </c>
      <c r="E1567" t="inlineStr">
        <is>
          <t>ปกติ</t>
        </is>
      </c>
      <c r="F1567" s="3"/>
      <c r="G1567"/>
      <c r="H1567" t="inlineStr">
        <is>
          <t>Pic Posts / Album</t>
        </is>
      </c>
      <c r="I1567" t="inlineStr">
        <is>
          <t>งานประจำวัน</t>
        </is>
      </c>
      <c r="J1567" t="inlineStr">
        <is>
          <t>Done</t>
        </is>
      </c>
      <c r="K1567"/>
      <c r="L1567" s="3" t="str">
        <f>=HYPERLINK("https://www.facebook.com/iPhonemod/posts/pfbid02bT2tmT6M7dxHA7SQ2ZRQ7x6MDiTu7SANLCXyGqt6mQ9m9tWB3rKMoxdaZgEhGf8yl?__cft__[0]=AZVWi9jXViHg1Kzi1vuT8xy-Q8_KehF7TE3GQaOcrJzoVCSxALQCvZL-JltbwTAnjCBoOfeVg9u1iVVCvGh52-qvWE-kTItp2LoP0LzXTlFO2kO00vMr6uTii06rB2ahW3OLoKDrIX5_w8lz1-VjSGzn0OsdObtzSBHeYA9u1wnWCtePOfcUOdVdmYPbd6wTv9szh4PLK4eC8-zzmQ5Z63oF&amp;__tn__=%2CO%2CP-R", "https://www.facebook.com/iPhonemod/posts/pfbid02bT2tmT6M7dxHA7SQ2ZRQ7x6MDiTu7SANLCXyGqt6mQ9m9tWB3rKMoxdaZgEhGf8yl?__cft__[0]=AZVWi9jXViHg1Kzi1vuT8xy-Q8_KehF7TE3GQaOcrJzoVCSxALQCvZL-JltbwTAnjCBoOfeVg9u1iVVCvGh52-qvWE-kTItp2LoP0LzXTlFO2kO00vMr6uTii06rB2ahW3OLoKDrIX5_w8lz1-VjSGzn0OsdObtzSBHeYA9u1wnWCtePOfcUOdVdmYPbd6wTv9szh4PLK4eC8-zzmQ5Z63oF&amp;__tn__=%2CO%2CP-R")</f>
        <v>https://www.facebook.com/iPhonemod/posts/pfbid02bT2tmT6M7dxHA7SQ2ZRQ7x6MDiTu7SANLCXyGqt6mQ9m9tWB3rKMoxdaZgEhGf8yl?__cft__[0]=AZVWi9jXViHg1Kzi1vuT8xy-Q8_KehF7TE3GQaOcrJzoVCSxALQCvZL-JltbwTAnjCBoOfeVg9u1iVVCvGh52-qvWE-kTItp2LoP0LzXTlFO2kO00vMr6uTii06rB2ahW3OLoKDrIX5_w8lz1-VjSGzn0OsdObtzSBHeYA9u1wnWCtePOfcUOdVdmYPbd6wTv9szh4PLK4eC8-zzmQ5Z63oF&amp;__tn__=%2CO%2CP-R</v>
      </c>
      <c r="M1567" t="inlineStr">
        <is>
          <t>1</t>
        </is>
      </c>
      <c r="N1567" t="inlineStr">
        <is>
          <t>Apple</t>
        </is>
      </c>
      <c r="O1567"/>
    </row>
    <row r="1568" ht="12.75" customHeight="1">
      <c r="A1568" t="inlineStr">
        <is>
          <t>รายละเอียดโปรโมชัน Back to School 2025</t>
        </is>
      </c>
      <c r="B1568" t="inlineStr">
        <is>
          <t>Thitirath Kinaret</t>
        </is>
      </c>
      <c r="C1568" s="2">
        <v>45825</v>
      </c>
      <c r="D1568" s="2">
        <v>45825</v>
      </c>
      <c r="E1568" t="inlineStr">
        <is>
          <t>ปกติ</t>
        </is>
      </c>
      <c r="F1568" s="3"/>
      <c r="G1568"/>
      <c r="H1568" t="inlineStr">
        <is>
          <t>Pic Posts / Album</t>
        </is>
      </c>
      <c r="I1568" t="inlineStr">
        <is>
          <t>งานประจำวัน</t>
        </is>
      </c>
      <c r="J1568" t="inlineStr">
        <is>
          <t>Done</t>
        </is>
      </c>
      <c r="K1568"/>
      <c r="L1568" s="3" t="str">
        <f>=HYPERLINK("https://www.facebook.com/iPhonemod/posts/pfbid02qAdSVtLWHZMwHZAUEnqUQbY1AaDiphWYHow6Lj6YtSHDE3Np225AV4r42g47DGrol?__cft__[0]=AZXAmxXcHJaT_awGMOW01Elrn9xEWppkzdzvw0Hh46K6lSfHdFcZDvFm5uccj-7sRaEfvTF6gcZy_hAci8p4EiyxZmDPTAaQKbWWwpxL5hW1DbQb7VcKVSLgIYj4Ko32iwY3NxSDeyMx2TgfS1KFoI75eIaxU7bAEw5hxQad7640jDoST8a10ta7dEZGHgSyc-IzHGNkfMSqZupqKy_9IKKb&amp;__tn__=%2CO%2CP-R", "https://www.facebook.com/iPhonemod/posts/pfbid02qAdSVtLWHZMwHZAUEnqUQbY1AaDiphWYHow6Lj6YtSHDE3Np225AV4r42g47DGrol?__cft__[0]=AZXAmxXcHJaT_awGMOW01Elrn9xEWppkzdzvw0Hh46K6lSfHdFcZDvFm5uccj-7sRaEfvTF6gcZy_hAci8p4EiyxZmDPTAaQKbWWwpxL5hW1DbQb7VcKVSLgIYj4Ko32iwY3NxSDeyMx2TgfS1KFoI75eIaxU7bAEw5hxQad7640jDoST8a10ta7dEZGHgSyc-IzHGNkfMSqZupqKy_9IKKb&amp;__tn__=%2CO%2CP-R")</f>
        <v>https://www.facebook.com/iPhonemod/posts/pfbid02qAdSVtLWHZMwHZAUEnqUQbY1AaDiphWYHow6Lj6YtSHDE3Np225AV4r42g47DGrol?__cft__[0]=AZXAmxXcHJaT_awGMOW01Elrn9xEWppkzdzvw0Hh46K6lSfHdFcZDvFm5uccj-7sRaEfvTF6gcZy_hAci8p4EiyxZmDPTAaQKbWWwpxL5hW1DbQb7VcKVSLgIYj4Ko32iwY3NxSDeyMx2TgfS1KFoI75eIaxU7bAEw5hxQad7640jDoST8a10ta7dEZGHgSyc-IzHGNkfMSqZupqKy_9IKKb&amp;__tn__=%2CO%2CP-R</v>
      </c>
      <c r="M1568" t="inlineStr">
        <is>
          <t>1</t>
        </is>
      </c>
      <c r="N1568" t="inlineStr">
        <is>
          <t>Apple</t>
        </is>
      </c>
      <c r="O1568"/>
    </row>
    <row r="1569" ht="12.75" customHeight="1">
      <c r="A1569" t="inlineStr">
        <is>
          <t>รวมถาม-ตอบโปรโมชัน Apple Back to School ปี 2025
</t>
        </is>
      </c>
      <c r="B1569" t="inlineStr">
        <is>
          <t>Thitirath Kinaret</t>
        </is>
      </c>
      <c r="C1569" s="2">
        <v>45825</v>
      </c>
      <c r="D1569" s="2">
        <v>45825</v>
      </c>
      <c r="E1569" t="inlineStr">
        <is>
          <t>ปกติ</t>
        </is>
      </c>
      <c r="F1569" s="3"/>
      <c r="G1569"/>
      <c r="H1569" t="inlineStr">
        <is>
          <t>Pic Posts / Album</t>
        </is>
      </c>
      <c r="I1569" t="inlineStr">
        <is>
          <t>งานประจำวัน</t>
        </is>
      </c>
      <c r="J1569" t="inlineStr">
        <is>
          <t>Done</t>
        </is>
      </c>
      <c r="K1569"/>
      <c r="L1569" s="3" t="str">
        <f>=HYPERLINK("https://www.facebook.com/iPhonemod/posts/pfbid02CHkNqQDLL1M5sT9AJJfytnqU4opWCVESfRu8CoZkaQWtiPfUNoLFVvdV1PBRdH6Bl?__cft__[0]=AZVV94RA79v97HdRZgZtrHIVKOGuouvwefger4sFsZBFBYUE4z37P0q6JfS4EcEa-81rgjQs5lY0bNzwtf-yOJH_yyQHbG2flVHyfrO7BdhqJ9lb1oNQaRagQ7y8iZ3DOANN35w2ZpXGGhXu2rPODAUrZOaoxM8bAyKxcajbvZBBJ17HN61F5eWc_oVbkbg4zpFnck2aBxjy7Pa5f5Qwjt2J&amp;__tn__=%2CO%2CP-R", "https://www.facebook.com/iPhonemod/posts/pfbid02CHkNqQDLL1M5sT9AJJfytnqU4opWCVESfRu8CoZkaQWtiPfUNoLFVvdV1PBRdH6Bl?__cft__[0]=AZVV94RA79v97HdRZgZtrHIVKOGuouvwefger4sFsZBFBYUE4z37P0q6JfS4EcEa-81rgjQs5lY0bNzwtf-yOJH_yyQHbG2flVHyfrO7BdhqJ9lb1oNQaRagQ7y8iZ3DOANN35w2ZpXGGhXu2rPODAUrZOaoxM8bAyKxcajbvZBBJ17HN61F5eWc_oVbkbg4zpFnck2aBxjy7Pa5f5Qwjt2J&amp;__tn__=%2CO%2CP-R")</f>
        <v>https://www.facebook.com/iPhonemod/posts/pfbid02CHkNqQDLL1M5sT9AJJfytnqU4opWCVESfRu8CoZkaQWtiPfUNoLFVvdV1PBRdH6Bl?__cft__[0]=AZVV94RA79v97HdRZgZtrHIVKOGuouvwefger4sFsZBFBYUE4z37P0q6JfS4EcEa-81rgjQs5lY0bNzwtf-yOJH_yyQHbG2flVHyfrO7BdhqJ9lb1oNQaRagQ7y8iZ3DOANN35w2ZpXGGhXu2rPODAUrZOaoxM8bAyKxcajbvZBBJ17HN61F5eWc_oVbkbg4zpFnck2aBxjy7Pa5f5Qwjt2J&amp;__tn__=%2CO%2CP-R</v>
      </c>
      <c r="M1569" t="inlineStr">
        <is>
          <t>1</t>
        </is>
      </c>
      <c r="N1569" t="inlineStr">
        <is>
          <t>Apple</t>
        </is>
      </c>
      <c r="O1569"/>
    </row>
    <row r="1570" ht="12.75" customHeight="1">
      <c r="A1570" t="inlineStr">
        <is>
          <t>มาแล้ว! Back to School 2025</t>
        </is>
      </c>
      <c r="B1570" t="inlineStr">
        <is>
          <t>Sakura</t>
        </is>
      </c>
      <c r="C1570" s="2">
        <v>45825</v>
      </c>
      <c r="D1570" s="2">
        <v>45825</v>
      </c>
      <c r="E1570" t="inlineStr">
        <is>
          <t>ด่วน!</t>
        </is>
      </c>
      <c r="F1570" s="3"/>
      <c r="G1570"/>
      <c r="H1570" t="inlineStr">
        <is>
          <t>Website</t>
        </is>
      </c>
      <c r="I1570" t="inlineStr">
        <is>
          <t>งานประจำวัน</t>
        </is>
      </c>
      <c r="J1570" t="inlineStr">
        <is>
          <t>Done</t>
        </is>
      </c>
      <c r="K1570"/>
      <c r="L1570" s="3" t="str">
        <f>=HYPERLINK("https://www.iphonemod.net/back-to-school-2025-thailand-announce.html", "https://www.iphonemod.net/back-to-school-2025-thailand-announce.html")</f>
        <v>https://www.iphonemod.net/back-to-school-2025-thailand-announce.html</v>
      </c>
      <c r="M1570" t="inlineStr">
        <is>
          <t>1</t>
        </is>
      </c>
      <c r="N1570" t="inlineStr">
        <is>
          <t>Apple</t>
        </is>
      </c>
      <c r="O1570"/>
    </row>
    <row r="1571" ht="12.75" customHeight="1">
      <c r="A1571" t="inlineStr">
        <is>
          <t>iPadOS 26 Genmoji</t>
        </is>
      </c>
      <c r="B1571" t="inlineStr">
        <is>
          <t>Nattida Suriyodara,Krongkwun  Rithiwong</t>
        </is>
      </c>
      <c r="C1571" s="2">
        <v>45825</v>
      </c>
      <c r="D1571" s="2"/>
      <c r="E1571" t="inlineStr">
        <is>
          <t>ปกติ</t>
        </is>
      </c>
      <c r="F1571" s="3"/>
      <c r="G1571"/>
      <c r="H1571" t="inlineStr">
        <is>
          <t>Shorts</t>
        </is>
      </c>
      <c r="I1571" t="inlineStr">
        <is>
          <t>งานประจำวัน</t>
        </is>
      </c>
      <c r="J1571" t="inlineStr">
        <is>
          <t>Done</t>
        </is>
      </c>
      <c r="K1571"/>
      <c r="L1571" s="3"/>
      <c r="M1571" t="inlineStr">
        <is>
          <t>1</t>
        </is>
      </c>
      <c r="N1571" t="inlineStr">
        <is>
          <t>Apple</t>
        </is>
      </c>
      <c r="O1571"/>
    </row>
    <row r="1572" ht="12.75" customHeight="1">
      <c r="A1572" t="inlineStr">
        <is>
          <t>เปิดตัวสมาร์ตโฟนรุ่นใหม่ HONOR 400 Series</t>
        </is>
      </c>
      <c r="B1572" t="inlineStr">
        <is>
          <t>Thitirath Kinaret,Pun</t>
        </is>
      </c>
      <c r="C1572" s="2">
        <v>45824</v>
      </c>
      <c r="D1572" s="2">
        <v>45824</v>
      </c>
      <c r="E1572" t="inlineStr">
        <is>
          <t>ปกติ</t>
        </is>
      </c>
      <c r="F1572" s="3"/>
      <c r="G1572" t="inlineStr">
        <is>
          <t>Media Invitation Letter for HONOR 400 Series Press conference.pdf</t>
        </is>
      </c>
      <c r="H1572" t="inlineStr">
        <is>
          <t>Pic Posts / Album, Event</t>
        </is>
      </c>
      <c r="I1572" t="inlineStr">
        <is>
          <t>งานลูกค้า</t>
        </is>
      </c>
      <c r="J1572" t="inlineStr">
        <is>
          <t>Done</t>
        </is>
      </c>
      <c r="K1572"/>
      <c r="L1572" s="3" t="str">
        <f>=HYPERLINK("https://www.facebook.com/iPhonemod/posts/pfbid022VXafggrBZMAkfAH7qDVYZsb8knWEFworFb8qNaiYLgnQZDTswDG8ZTLVPFZHguKl", "https://www.facebook.com/iPhonemod/posts/pfbid022VXafggrBZMAkfAH7qDVYZsb8knWEFworFb8qNaiYLgnQZDTswDG8ZTLVPFZHguKl")</f>
        <v>https://www.facebook.com/iPhonemod/posts/pfbid022VXafggrBZMAkfAH7qDVYZsb8knWEFworFb8qNaiYLgnQZDTswDG8ZTLVPFZHguKl</v>
      </c>
      <c r="M1572" t="inlineStr">
        <is>
          <t>1</t>
        </is>
      </c>
      <c r="N1572" t="inlineStr">
        <is>
          <t>Android</t>
        </is>
      </c>
      <c r="O1572"/>
    </row>
    <row r="1573" ht="12.75" customHeight="1">
      <c r="A1573" t="inlineStr">
        <is>
          <t>iOS 26 อัปเดตแอปเพลงใหม่!</t>
        </is>
      </c>
      <c r="B1573" t="inlineStr">
        <is>
          <t>Saktaphat Kordjan,Sasithakan Sritonthip</t>
        </is>
      </c>
      <c r="C1573" s="2">
        <v>45824</v>
      </c>
      <c r="D1573" s="2"/>
      <c r="E1573" t="inlineStr">
        <is>
          <t>ด่วน!</t>
        </is>
      </c>
      <c r="F1573" s="3"/>
      <c r="G1573"/>
      <c r="H1573" t="inlineStr">
        <is>
          <t>Shorts</t>
        </is>
      </c>
      <c r="I1573" t="inlineStr">
        <is>
          <t>งานประจำวัน</t>
        </is>
      </c>
      <c r="J1573" t="inlineStr">
        <is>
          <t>Done</t>
        </is>
      </c>
      <c r="K1573"/>
      <c r="L1573" s="3"/>
      <c r="M1573" t="inlineStr">
        <is>
          <t>1</t>
        </is>
      </c>
      <c r="N1573" t="inlineStr">
        <is>
          <t>Apple</t>
        </is>
      </c>
      <c r="O1573"/>
    </row>
    <row r="1574" ht="12.75" customHeight="1">
      <c r="A1574" t="inlineStr">
        <is>
          <t>Back to School 2025 | Plan</t>
        </is>
      </c>
      <c r="B1574" t="inlineStr">
        <is>
          <t>Thitirath Kinaret</t>
        </is>
      </c>
      <c r="C1574" s="2">
        <v>45824</v>
      </c>
      <c r="D1574" s="2">
        <v>45828</v>
      </c>
      <c r="E1574" t="inlineStr">
        <is>
          <t>ปกติ</t>
        </is>
      </c>
      <c r="F1574" s="3"/>
      <c r="G1574"/>
      <c r="H1574" t="inlineStr">
        <is>
          <t>YouTube, Website, Pic Posts / Album, Shorts</t>
        </is>
      </c>
      <c r="I1574" t="inlineStr">
        <is>
          <t>เสนอไอเดีย</t>
        </is>
      </c>
      <c r="J1574" t="inlineStr">
        <is>
          <t>Done</t>
        </is>
      </c>
      <c r="K1574" t="inlineStr">
        <is>
          <t>ก่อนเริ่ม BTS
YouTube
• ย้อน Timelime โปรฯ BTS ในไทย 
• คุยประสบการณ์โปรฯ BTS สำคัญยังไง ช่วยด้านการศึกษายังไงบ้าง
Pic
• ย้อน Timelime โปรฯ BTS ในไทย 
Shorts
• BTS นศ. ต้องเตรียมอะไรบ้าง
______________________
วันเริ่ม BTS
YouTube
• มาแล้ว! โปรฯ BTS 2025
• ถามตอบ โปรฯ BTS 2025
• BTS 2025 มีสินค้าอะไรน่าซื้อบ้าง
Website
• มาแล้ว! โปรฯ BTS 2025
• ถามตอบ โปรฯ BTS 2025
• BTS 2025 มีสินค้าอะไรน่าซื้อบ้าง
Pic
• มาแล้ว! โปรฯ BTS 2025
• รายละเอียดสินค้าเข้าเกณฑ์ โปรฯ BTS 2025
Shorts
• มาแล้ว! โปรฯ BTS 2025
• ถามตอบ โปรฯ BTS 2025
</t>
        </is>
      </c>
      <c r="L1574" s="3"/>
      <c r="M1574" t="inlineStr">
        <is>
          <t>1</t>
        </is>
      </c>
      <c r="N1574" t="inlineStr">
        <is>
          <t>Apple</t>
        </is>
      </c>
      <c r="O1574"/>
    </row>
    <row r="1575" ht="12.75" customHeight="1">
      <c r="A1575" t="inlineStr">
        <is>
          <t>iOS 26 เพิ่มแอปเกม ใหม่!</t>
        </is>
      </c>
      <c r="B1575" t="inlineStr">
        <is>
          <t>Saktaphat Kordjan,Sasithakan Sritonthip</t>
        </is>
      </c>
      <c r="C1575" s="2">
        <v>45824</v>
      </c>
      <c r="D1575" s="2"/>
      <c r="E1575" t="inlineStr">
        <is>
          <t>ด่วน!</t>
        </is>
      </c>
      <c r="F1575" s="3"/>
      <c r="G1575"/>
      <c r="H1575" t="inlineStr">
        <is>
          <t>Shorts</t>
        </is>
      </c>
      <c r="I1575" t="inlineStr">
        <is>
          <t>งานประจำวัน</t>
        </is>
      </c>
      <c r="J1575" t="inlineStr">
        <is>
          <t>Done</t>
        </is>
      </c>
      <c r="K1575"/>
      <c r="L1575" s="3"/>
      <c r="M1575" t="inlineStr">
        <is>
          <t>1</t>
        </is>
      </c>
      <c r="N1575" t="inlineStr">
        <is>
          <t>Apple</t>
        </is>
      </c>
      <c r="O1575"/>
    </row>
    <row r="1576" ht="12.75" customHeight="1">
      <c r="A1576" t="inlineStr">
        <is>
          <t>สรุปไทม์ไลน์ Back to School 2020-2024</t>
        </is>
      </c>
      <c r="B1576" t="inlineStr">
        <is>
          <t>Nattida Suriyodara</t>
        </is>
      </c>
      <c r="C1576" s="2">
        <v>45824</v>
      </c>
      <c r="D1576" s="2"/>
      <c r="E1576" t="inlineStr">
        <is>
          <t xml:space="preserve">ด่วนมาก! </t>
        </is>
      </c>
      <c r="F1576" s="3"/>
      <c r="G1576"/>
      <c r="H1576" t="inlineStr">
        <is>
          <t>YouTube</t>
        </is>
      </c>
      <c r="I1576" t="inlineStr">
        <is>
          <t>งานประจำวัน</t>
        </is>
      </c>
      <c r="J1576" t="inlineStr">
        <is>
          <t>Done</t>
        </is>
      </c>
      <c r="K1576"/>
      <c r="L1576" s="3"/>
      <c r="M1576" t="inlineStr">
        <is>
          <t>1</t>
        </is>
      </c>
      <c r="N1576" t="inlineStr">
        <is>
          <t>Apple</t>
        </is>
      </c>
      <c r="O1576"/>
    </row>
    <row r="1577" ht="12.75" customHeight="1">
      <c r="A1577" t="inlineStr">
        <is>
          <t xml:space="preserve">4 เรื่องที่ต้องรู้ถ้าจะซื้อสินค้าช่วง Back to school </t>
        </is>
      </c>
      <c r="B1577" t="inlineStr">
        <is>
          <t>Nattida Suriyodara,Sasithakan Sritonthip</t>
        </is>
      </c>
      <c r="C1577" s="2">
        <v>45824</v>
      </c>
      <c r="D1577" s="2"/>
      <c r="E1577" t="inlineStr">
        <is>
          <t>ด่วน!</t>
        </is>
      </c>
      <c r="F1577" s="3"/>
      <c r="G1577"/>
      <c r="H1577" t="inlineStr">
        <is>
          <t>Shorts</t>
        </is>
      </c>
      <c r="I1577" t="inlineStr">
        <is>
          <t>งานประจำวัน</t>
        </is>
      </c>
      <c r="J1577" t="inlineStr">
        <is>
          <t>Done</t>
        </is>
      </c>
      <c r="K1577" t="inlineStr">
        <is>
          <t>4 เรื่องที่ต้องรู้
- รู้เกณฑ์
- รู้วัน (วันเริ่ม และหมดเขตวันไหน)
- รู้รายการสินค้าที่เข้าร่วม
- รู้ว่าซื้อที่ไหน?</t>
        </is>
      </c>
      <c r="L1577" s="3"/>
      <c r="M1577" t="inlineStr">
        <is>
          <t>1</t>
        </is>
      </c>
      <c r="N1577" t="inlineStr">
        <is>
          <t>Apple</t>
        </is>
      </c>
      <c r="O1577"/>
    </row>
    <row r="1578" ht="12.75" customHeight="1">
      <c r="A1578" t="inlineStr">
        <is>
          <t>iPadOS 26 ดีไซน์ใหม่ Liquid Glass</t>
        </is>
      </c>
      <c r="B1578" t="inlineStr">
        <is>
          <t>Nattida Suriyodara,Sasithakan Sritonthip</t>
        </is>
      </c>
      <c r="C1578" s="2">
        <v>45824</v>
      </c>
      <c r="D1578" s="2"/>
      <c r="E1578" t="inlineStr">
        <is>
          <t>ปกติ</t>
        </is>
      </c>
      <c r="F1578" s="3"/>
      <c r="G1578"/>
      <c r="H1578" t="inlineStr">
        <is>
          <t>Shorts</t>
        </is>
      </c>
      <c r="I1578" t="inlineStr">
        <is>
          <t>งานประจำวัน</t>
        </is>
      </c>
      <c r="J1578" t="inlineStr">
        <is>
          <t>Done</t>
        </is>
      </c>
      <c r="K1578"/>
      <c r="L1578" s="3"/>
      <c r="M1578" t="inlineStr">
        <is>
          <t>1</t>
        </is>
      </c>
      <c r="N1578" t="inlineStr">
        <is>
          <t>Apple</t>
        </is>
      </c>
      <c r="O1578"/>
    </row>
    <row r="1579" ht="12.75" customHeight="1">
      <c r="A1579" t="inlineStr">
        <is>
          <t>iOS 26 เพิ่มฟีเจอร์เตือนเมื่อเลนส์สกปรก</t>
        </is>
      </c>
      <c r="B1579" t="inlineStr">
        <is>
          <t>Saktaphat Kordjan</t>
        </is>
      </c>
      <c r="C1579" s="2">
        <v>45824</v>
      </c>
      <c r="D1579" s="2"/>
      <c r="E1579" t="inlineStr">
        <is>
          <t>ปกติ</t>
        </is>
      </c>
      <c r="F1579" s="3"/>
      <c r="G1579"/>
      <c r="H1579" t="inlineStr">
        <is>
          <t>Shorts</t>
        </is>
      </c>
      <c r="I1579" t="inlineStr">
        <is>
          <t>งานประจำวัน</t>
        </is>
      </c>
      <c r="J1579" t="inlineStr">
        <is>
          <t>Done</t>
        </is>
      </c>
      <c r="K1579"/>
      <c r="L1579" s="3"/>
      <c r="M1579" t="inlineStr">
        <is>
          <t>1</t>
        </is>
      </c>
      <c r="N1579" t="inlineStr">
        <is>
          <t>Apple</t>
        </is>
      </c>
      <c r="O1579"/>
    </row>
    <row r="1580" ht="12.75" customHeight="1">
      <c r="A1580" t="inlineStr">
        <is>
          <t xml:space="preserve">Samsung เผลอหลุดวันเปิดตัว Galaxy Z Fold7 และ Flip7 </t>
        </is>
      </c>
      <c r="B1580" t="inlineStr">
        <is>
          <t>Saktaphat Kordjan</t>
        </is>
      </c>
      <c r="C1580" s="2">
        <v>45824</v>
      </c>
      <c r="D1580" s="2">
        <v>45824</v>
      </c>
      <c r="E1580" t="inlineStr">
        <is>
          <t>ปกติ</t>
        </is>
      </c>
      <c r="F1580" s="3" t="str">
        <f>=HYPERLINK("https://www.gsmarena.com/samsung_may_have_inadvertently_revealed_the_date_of_its_galaxy_z_fold7_and_flip7_launch_event-news-68253.php", "https://www.gsmarena.com/samsung_may_have_inadvertently_revealed_the_date_of_its_galaxy_z_fold7_and_flip7_launch_event-news-68253.php")</f>
        <v>https://www.gsmarena.com/samsung_may_have_inadvertently_revealed_the_date_of_its_galaxy_z_fold7_and_flip7_launch_event-news-68253.php</v>
      </c>
      <c r="G1580"/>
      <c r="H1580" t="inlineStr">
        <is>
          <t>Website</t>
        </is>
      </c>
      <c r="I1580" t="inlineStr">
        <is>
          <t>งานประจำวัน</t>
        </is>
      </c>
      <c r="J1580" t="inlineStr">
        <is>
          <t>Done</t>
        </is>
      </c>
      <c r="K1580"/>
      <c r="L1580" s="3"/>
      <c r="M1580" t="inlineStr">
        <is>
          <t>1</t>
        </is>
      </c>
      <c r="N1580" t="inlineStr">
        <is>
          <t>Android</t>
        </is>
      </c>
      <c r="O1580"/>
    </row>
    <row r="1581" ht="12.75" customHeight="1">
      <c r="A1581" t="inlineStr">
        <is>
          <t>iPhone XS ถูกปรับสถานะเป็นผลิตภัณฑ์ “Vintage” แล้ว
</t>
        </is>
      </c>
      <c r="B1581" t="inlineStr">
        <is>
          <t>Thitirath Kinaret</t>
        </is>
      </c>
      <c r="C1581" s="2">
        <v>45823</v>
      </c>
      <c r="D1581" s="2">
        <v>45823</v>
      </c>
      <c r="E1581" t="inlineStr">
        <is>
          <t>ปกติ</t>
        </is>
      </c>
      <c r="F1581" s="3"/>
      <c r="G1581"/>
      <c r="H1581" t="inlineStr">
        <is>
          <t>Website, Pic Posts / Album</t>
        </is>
      </c>
      <c r="I1581" t="inlineStr">
        <is>
          <t>งานประจำวัน</t>
        </is>
      </c>
      <c r="J1581" t="inlineStr">
        <is>
          <t>Done</t>
        </is>
      </c>
      <c r="K1581"/>
      <c r="L1581" s="3" t="str">
        <f>=HYPERLINK("https://www.iphonemod.net/iphone-xs-now-vintage.html", "https://www.iphonemod.net/iphone-xs-now-vintage.html")</f>
        <v>https://www.iphonemod.net/iphone-xs-now-vintage.html</v>
      </c>
      <c r="M1581" t="inlineStr">
        <is>
          <t>1</t>
        </is>
      </c>
      <c r="N1581" t="inlineStr">
        <is>
          <t>Apple</t>
        </is>
      </c>
      <c r="O1581"/>
    </row>
    <row r="1582" ht="12.75" customHeight="1">
      <c r="A1582" t="inlineStr">
        <is>
          <t>iOS 26 มีฟีเจอร์แจ้งเตือนหากเลนส์กล้อง iPhone สกปรก
</t>
        </is>
      </c>
      <c r="B1582" t="inlineStr">
        <is>
          <t>Thitirath Kinaret</t>
        </is>
      </c>
      <c r="C1582" s="2">
        <v>45822</v>
      </c>
      <c r="D1582" s="2">
        <v>45822</v>
      </c>
      <c r="E1582" t="inlineStr">
        <is>
          <t>ปกติ</t>
        </is>
      </c>
      <c r="F1582" s="3"/>
      <c r="G1582"/>
      <c r="H1582" t="inlineStr">
        <is>
          <t>Website, Pic Posts / Album</t>
        </is>
      </c>
      <c r="I1582" t="inlineStr">
        <is>
          <t>งานประจำวัน</t>
        </is>
      </c>
      <c r="J1582" t="inlineStr">
        <is>
          <t>Done</t>
        </is>
      </c>
      <c r="K1582"/>
      <c r="L1582" s="3" t="str">
        <f>=HYPERLINK("https://www.iphonemod.net/ios-26-clean-back-camera-warning.html", "https://www.iphonemod.net/ios-26-clean-back-camera-warning.html")</f>
        <v>https://www.iphonemod.net/ios-26-clean-back-camera-warning.html</v>
      </c>
      <c r="M1582" t="inlineStr">
        <is>
          <t>1</t>
        </is>
      </c>
      <c r="N1582" t="inlineStr">
        <is>
          <t>Apple</t>
        </is>
      </c>
      <c r="O1582"/>
    </row>
    <row r="1583" ht="12.75" customHeight="1">
      <c r="A1583" t="inlineStr">
        <is>
          <t>iOS 26 มาพร้อมกับหน้าจอล็อคแบบใหม่ สวยงามขึ้น!
</t>
        </is>
      </c>
      <c r="B1583" t="inlineStr">
        <is>
          <t>Thitirath Kinaret</t>
        </is>
      </c>
      <c r="C1583" s="2">
        <v>45821</v>
      </c>
      <c r="D1583" s="2">
        <v>45821</v>
      </c>
      <c r="E1583" t="inlineStr">
        <is>
          <t>ปกติ</t>
        </is>
      </c>
      <c r="F1583" s="3"/>
      <c r="G1583"/>
      <c r="H1583" t="inlineStr">
        <is>
          <t>Pic Posts / Album</t>
        </is>
      </c>
      <c r="I1583" t="inlineStr">
        <is>
          <t>งานประจำวัน</t>
        </is>
      </c>
      <c r="J1583" t="inlineStr">
        <is>
          <t>Done</t>
        </is>
      </c>
      <c r="K1583"/>
      <c r="L1583" s="3" t="str">
        <f>=HYPERLINK("https://www.facebook.com/iPhonemod/posts/pfbid032KNKRSQ9DV2cHQdmqweiW4pH1HGtm9qUHZFsEGFyHNvDE5E6ULCmFxooRQe8ubJ6l?__cft__[0]=AZW4A-87p1piLmWESQnq51ZSgd6ExxBLnblyAe2WAZwFLLhzKk1CznOa5R_Q1hHbtgG4zF_vfi0DrV9ooUzaOexMezJJatXEtJdsqZLNcuVpWxE7f-Me5-izFeq_MWtiK0xq8_y0VFnNcXuQkRQky03e8Ek5lILAuigBbuOoNa2_oiKIE8HwV64mu_8OYChltZa-qTN15ARiltvUu9kMBrTY&amp;__tn__=%2CO%2CP-R", "https://www.facebook.com/iPhonemod/posts/pfbid032KNKRSQ9DV2cHQdmqweiW4pH1HGtm9qUHZFsEGFyHNvDE5E6ULCmFxooRQe8ubJ6l?__cft__[0]=AZW4A-87p1piLmWESQnq51ZSgd6ExxBLnblyAe2WAZwFLLhzKk1CznOa5R_Q1hHbtgG4zF_vfi0DrV9ooUzaOexMezJJatXEtJdsqZLNcuVpWxE7f-Me5-izFeq_MWtiK0xq8_y0VFnNcXuQkRQky03e8Ek5lILAuigBbuOoNa2_oiKIE8HwV64mu_8OYChltZa-qTN15ARiltvUu9kMBrTY&amp;__tn__=%2CO%2CP-R")</f>
        <v>https://www.facebook.com/iPhonemod/posts/pfbid032KNKRSQ9DV2cHQdmqweiW4pH1HGtm9qUHZFsEGFyHNvDE5E6ULCmFxooRQe8ubJ6l?__cft__[0]=AZW4A-87p1piLmWESQnq51ZSgd6ExxBLnblyAe2WAZwFLLhzKk1CznOa5R_Q1hHbtgG4zF_vfi0DrV9ooUzaOexMezJJatXEtJdsqZLNcuVpWxE7f-Me5-izFeq_MWtiK0xq8_y0VFnNcXuQkRQky03e8Ek5lILAuigBbuOoNa2_oiKIE8HwV64mu_8OYChltZa-qTN15ARiltvUu9kMBrTY&amp;__tn__=%2CO%2CP-R</v>
      </c>
      <c r="M1583" t="inlineStr">
        <is>
          <t>1</t>
        </is>
      </c>
      <c r="N1583" t="inlineStr">
        <is>
          <t>Apple</t>
        </is>
      </c>
      <c r="O1583"/>
    </row>
    <row r="1584" ht="12.75" customHeight="1">
      <c r="A1584" t="inlineStr">
        <is>
          <t>iOS 26 นาฬิกาปลุกปุ่มใหญ๋ขึ้น</t>
        </is>
      </c>
      <c r="B1584" t="inlineStr">
        <is>
          <t>Sasithakan Sritonthip,Saktaphat Kordjan</t>
        </is>
      </c>
      <c r="C1584" s="2">
        <v>45821</v>
      </c>
      <c r="D1584" s="2">
        <v>45821</v>
      </c>
      <c r="E1584" t="inlineStr">
        <is>
          <t>ปกติ</t>
        </is>
      </c>
      <c r="F1584" s="3"/>
      <c r="G1584"/>
      <c r="H1584" t="inlineStr">
        <is>
          <t>Shorts</t>
        </is>
      </c>
      <c r="I1584" t="inlineStr">
        <is>
          <t>งานประจำวัน</t>
        </is>
      </c>
      <c r="J1584" t="inlineStr">
        <is>
          <t>Done</t>
        </is>
      </c>
      <c r="K1584"/>
      <c r="L1584" s="3"/>
      <c r="M1584" t="inlineStr">
        <is>
          <t>1</t>
        </is>
      </c>
      <c r="N1584" t="inlineStr">
        <is>
          <t>Apple</t>
        </is>
      </c>
      <c r="O1584"/>
    </row>
    <row r="1585" ht="12.75" customHeight="1">
      <c r="A1585" t="inlineStr">
        <is>
          <t>iOS 26 ดีไซน์ใหม่</t>
        </is>
      </c>
      <c r="B1585" t="inlineStr">
        <is>
          <t>Saktaphat Kordjan,Sasithakan Sritonthip</t>
        </is>
      </c>
      <c r="C1585" s="2">
        <v>45821</v>
      </c>
      <c r="D1585" s="2"/>
      <c r="E1585" t="inlineStr">
        <is>
          <t>ด่วน!</t>
        </is>
      </c>
      <c r="F1585" s="3"/>
      <c r="G1585"/>
      <c r="H1585" t="inlineStr">
        <is>
          <t>Shorts</t>
        </is>
      </c>
      <c r="I1585" t="inlineStr">
        <is>
          <t>งานประจำวัน</t>
        </is>
      </c>
      <c r="J1585" t="inlineStr">
        <is>
          <t>Done</t>
        </is>
      </c>
      <c r="K1585"/>
      <c r="L1585" s="3"/>
      <c r="M1585" t="inlineStr">
        <is>
          <t>1</t>
        </is>
      </c>
      <c r="N1585" t="inlineStr">
        <is>
          <t>Apple</t>
        </is>
      </c>
      <c r="O1585"/>
    </row>
    <row r="1586" ht="12.75" customHeight="1">
      <c r="A1586" t="inlineStr">
        <is>
          <t>Apple เพิ่มเครื่องมือเพื่อช่วยผู้ปกครองปกป้องเด็กและวัยรุ่นบนโลกออนไลน์</t>
        </is>
      </c>
      <c r="B1586" t="inlineStr">
        <is>
          <t>Sasithakan Sritonthip</t>
        </is>
      </c>
      <c r="C1586" s="2">
        <v>45821</v>
      </c>
      <c r="D1586" s="2"/>
      <c r="E1586" t="inlineStr">
        <is>
          <t>ปกติ</t>
        </is>
      </c>
      <c r="F1586" s="3" t="str">
        <f>=HYPERLINK("https://www.apple.com/th/newsroom/2025/06/apple-expands-tools-to-help-parents-protect-kids-and-teens-online/", "https://www.apple.com/th/newsroom/2025/06/apple-expands-tools-to-help-parents-protect-kids-and-teens-online/")</f>
        <v>https://www.apple.com/th/newsroom/2025/06/apple-expands-tools-to-help-parents-protect-kids-and-teens-online/</v>
      </c>
      <c r="G1586"/>
      <c r="H1586" t="inlineStr">
        <is>
          <t>Website</t>
        </is>
      </c>
      <c r="I1586" t="inlineStr">
        <is>
          <t>งานลูกค้า</t>
        </is>
      </c>
      <c r="J1586" t="inlineStr">
        <is>
          <t>Done</t>
        </is>
      </c>
      <c r="K1586"/>
      <c r="L1586" s="3"/>
      <c r="M1586" t="inlineStr">
        <is>
          <t>1</t>
        </is>
      </c>
      <c r="N1586" t="inlineStr">
        <is>
          <t>Apple</t>
        </is>
      </c>
      <c r="O1586"/>
    </row>
    <row r="1587" ht="12.75" customHeight="1">
      <c r="A1587" t="inlineStr">
        <is>
          <t>AIS เปิดตัว 5G+ 3CC</t>
        </is>
      </c>
      <c r="B1587" t="inlineStr">
        <is>
          <t>Thitirath Kinaret,Pun</t>
        </is>
      </c>
      <c r="C1587" s="2">
        <v>45821</v>
      </c>
      <c r="D1587" s="2">
        <v>45821</v>
      </c>
      <c r="E1587" t="inlineStr">
        <is>
          <t>ปกติ</t>
        </is>
      </c>
      <c r="F1587" s="3"/>
      <c r="G1587"/>
      <c r="H1587" t="inlineStr">
        <is>
          <t>Event, Pic Posts / Album</t>
        </is>
      </c>
      <c r="I1587" t="inlineStr">
        <is>
          <t>งานลูกค้า</t>
        </is>
      </c>
      <c r="J1587" t="inlineStr">
        <is>
          <t>Done</t>
        </is>
      </c>
      <c r="K1587"/>
      <c r="L1587" s="3" t="str">
        <f>=HYPERLINK("https://www.facebook.com/iPhonemod/posts/pfbid0234j3s7vqD8o2ibKMq9j95KtdwsKfFeZc6W7CR2vXqRTWm5LLR34XfRLBzerUKwhdl", "https://www.facebook.com/iPhonemod/posts/pfbid0234j3s7vqD8o2ibKMq9j95KtdwsKfFeZc6W7CR2vXqRTWm5LLR34XfRLBzerUKwhdl")</f>
        <v>https://www.facebook.com/iPhonemod/posts/pfbid0234j3s7vqD8o2ibKMq9j95KtdwsKfFeZc6W7CR2vXqRTWm5LLR34XfRLBzerUKwhdl</v>
      </c>
      <c r="M1587" t="inlineStr">
        <is>
          <t>1</t>
        </is>
      </c>
      <c r="N1587" t="inlineStr">
        <is>
          <t>Tech</t>
        </is>
      </c>
      <c r="O1587"/>
    </row>
    <row r="1588" ht="12.75" customHeight="1">
      <c r="A1588" t="inlineStr">
        <is>
          <t>Meitu-ฟีเจอร์แฟลช</t>
        </is>
      </c>
      <c r="B1588" t="inlineStr">
        <is>
          <t>Nattida Suriyodara</t>
        </is>
      </c>
      <c r="C1588" s="2">
        <v>45821</v>
      </c>
      <c r="D1588" s="2"/>
      <c r="E1588" t="inlineStr">
        <is>
          <t>ปกติ</t>
        </is>
      </c>
      <c r="F1588" s="3"/>
      <c r="G1588"/>
      <c r="H1588" t="inlineStr">
        <is>
          <t>Shorts</t>
        </is>
      </c>
      <c r="I1588" t="inlineStr">
        <is>
          <t>งานประจำวัน</t>
        </is>
      </c>
      <c r="J1588" t="inlineStr">
        <is>
          <t>Done</t>
        </is>
      </c>
      <c r="K1588"/>
      <c r="L1588" s="3"/>
      <c r="M1588" t="inlineStr">
        <is>
          <t>1</t>
        </is>
      </c>
      <c r="N1588" t="inlineStr">
        <is>
          <t>ทั่วไป</t>
        </is>
      </c>
      <c r="O1588"/>
    </row>
    <row r="1589" ht="12.75" customHeight="1">
      <c r="A1589" t="inlineStr">
        <is>
          <t>แอปการโทรบน iOS 26 ปรับดีไซน์ใหม่ ใช้ง่ายกว่าเดิม</t>
        </is>
      </c>
      <c r="B1589" t="inlineStr">
        <is>
          <t>Saktaphat Kordjan</t>
        </is>
      </c>
      <c r="C1589" s="2">
        <v>45821</v>
      </c>
      <c r="D1589" s="2"/>
      <c r="E1589" t="inlineStr">
        <is>
          <t>ปกติ</t>
        </is>
      </c>
      <c r="F1589" s="3"/>
      <c r="G1589"/>
      <c r="H1589" t="inlineStr">
        <is>
          <t>Website</t>
        </is>
      </c>
      <c r="I1589" t="inlineStr">
        <is>
          <t>งานประจำวัน</t>
        </is>
      </c>
      <c r="J1589" t="inlineStr">
        <is>
          <t>Done</t>
        </is>
      </c>
      <c r="K1589"/>
      <c r="L1589" s="3"/>
      <c r="M1589" t="inlineStr">
        <is>
          <t>1</t>
        </is>
      </c>
      <c r="N1589" t="inlineStr">
        <is>
          <t>Apple</t>
        </is>
      </c>
      <c r="O1589"/>
    </row>
    <row r="1590" ht="12.75" customHeight="1">
      <c r="A1590" t="inlineStr">
        <is>
          <t>การตั้งค่าเพิ่มเติมบน iOS 26 ที่ Apple ไม่บอกในวันเปิดตัว</t>
        </is>
      </c>
      <c r="B1590" t="inlineStr">
        <is>
          <t>Saktaphat Kordjan</t>
        </is>
      </c>
      <c r="C1590" s="2">
        <v>45821</v>
      </c>
      <c r="D1590" s="2"/>
      <c r="E1590" t="inlineStr">
        <is>
          <t>ปกติ</t>
        </is>
      </c>
      <c r="F1590" s="3"/>
      <c r="G1590"/>
      <c r="H1590" t="inlineStr">
        <is>
          <t>Website</t>
        </is>
      </c>
      <c r="I1590" t="inlineStr">
        <is>
          <t>งานประจำวัน</t>
        </is>
      </c>
      <c r="J1590" t="inlineStr">
        <is>
          <t>Done</t>
        </is>
      </c>
      <c r="K1590"/>
      <c r="L1590" s="3"/>
      <c r="M1590" t="inlineStr">
        <is>
          <t>1</t>
        </is>
      </c>
      <c r="N1590" t="inlineStr">
        <is>
          <t>Apple</t>
        </is>
      </c>
      <c r="O1590"/>
    </row>
    <row r="1591" ht="12.75" customHeight="1">
      <c r="A1591" t="inlineStr">
        <is>
          <t>iOS 26 แอปกล้องกับแกลลอรี่ใหม่!</t>
        </is>
      </c>
      <c r="B1591" t="inlineStr">
        <is>
          <t>Saktaphat Kordjan,Sasithakan Sritonthip</t>
        </is>
      </c>
      <c r="C1591" s="2">
        <v>45821</v>
      </c>
      <c r="D1591" s="2"/>
      <c r="E1591" t="inlineStr">
        <is>
          <t>ด่วน!</t>
        </is>
      </c>
      <c r="F1591" s="3"/>
      <c r="G1591"/>
      <c r="H1591" t="inlineStr">
        <is>
          <t>Shorts</t>
        </is>
      </c>
      <c r="I1591" t="inlineStr">
        <is>
          <t>งานประจำวัน</t>
        </is>
      </c>
      <c r="J1591" t="inlineStr">
        <is>
          <t>Done</t>
        </is>
      </c>
      <c r="K1591"/>
      <c r="L1591" s="3"/>
      <c r="M1591" t="inlineStr">
        <is>
          <t>1</t>
        </is>
      </c>
      <c r="N1591" t="inlineStr">
        <is>
          <t>Apple</t>
        </is>
      </c>
      <c r="O1591"/>
    </row>
    <row r="1592" ht="12.75" customHeight="1">
      <c r="A1592" t="inlineStr">
        <is>
          <t>Tesla อาจเปิดตัว Model Y รุ่น 7 ที่นั่งโฉมใหม่เร็ว ๆ นี้</t>
        </is>
      </c>
      <c r="B1592" t="inlineStr">
        <is>
          <t>Sakura</t>
        </is>
      </c>
      <c r="C1592" s="2">
        <v>45821</v>
      </c>
      <c r="D1592" s="2">
        <v>45821</v>
      </c>
      <c r="E1592" t="inlineStr">
        <is>
          <t>ปกติ</t>
        </is>
      </c>
      <c r="F1592" s="3" t="str">
        <f>=HYPERLINK("https://ev.iphonemod.net/model-y-7-seats-may-launched-soon/", "https://ev.iphonemod.net/model-y-7-seats-may-launched-soon/")</f>
        <v>https://ev.iphonemod.net/model-y-7-seats-may-launched-soon/</v>
      </c>
      <c r="G1592"/>
      <c r="H1592" t="inlineStr">
        <is>
          <t>Website, Pic Posts / Album</t>
        </is>
      </c>
      <c r="I1592" t="inlineStr">
        <is>
          <t>งานประจำวัน</t>
        </is>
      </c>
      <c r="J1592" t="inlineStr">
        <is>
          <t>Done</t>
        </is>
      </c>
      <c r="K1592"/>
      <c r="L1592" s="3" t="str">
        <f>=HYPERLINK("https://www.facebook.com/iMoDDrive/posts/pfbid033eoHGN9TGYUtRs1MXxzyK8TeS9XJ7ztSyFE3LLzhy1aSs3QcBv4zSbVLx1AgP8Fhl", "https://www.facebook.com/iMoDDrive/posts/pfbid033eoHGN9TGYUtRs1MXxzyK8TeS9XJ7ztSyFE3LLzhy1aSs3QcBv4zSbVLx1AgP8Fhl")</f>
        <v>https://www.facebook.com/iMoDDrive/posts/pfbid033eoHGN9TGYUtRs1MXxzyK8TeS9XJ7ztSyFE3LLzhy1aSs3QcBv4zSbVLx1AgP8Fhl</v>
      </c>
      <c r="M1592" t="inlineStr">
        <is>
          <t>1</t>
        </is>
      </c>
      <c r="N1592" t="inlineStr">
        <is>
          <t>EV</t>
        </is>
      </c>
      <c r="O1592"/>
    </row>
    <row r="1593" ht="12.75" customHeight="1">
      <c r="A1593" t="inlineStr">
        <is>
          <t>ยอดขายรถยนต์ไฟฟ้าทั่วโลกพุ่งทะลุ 7.2 ล้านคันในปี 2568 จีนทุบสถิติใหม่!</t>
        </is>
      </c>
      <c r="B1593" t="inlineStr">
        <is>
          <t>Sakura</t>
        </is>
      </c>
      <c r="C1593" s="2">
        <v>45821</v>
      </c>
      <c r="D1593" s="2">
        <v>45821</v>
      </c>
      <c r="E1593" t="inlineStr">
        <is>
          <t>ปกติ</t>
        </is>
      </c>
      <c r="F1593" s="3" t="str">
        <f>=HYPERLINK("https://ev.iphonemod.net/global-ev-sales-hit-7-2-million-in-2025-china-dominate/", "https://ev.iphonemod.net/global-ev-sales-hit-7-2-million-in-2025-china-dominate/")</f>
        <v>https://ev.iphonemod.net/global-ev-sales-hit-7-2-million-in-2025-china-dominate/</v>
      </c>
      <c r="G1593"/>
      <c r="H1593" t="inlineStr">
        <is>
          <t>Website, Pic Posts / Album</t>
        </is>
      </c>
      <c r="I1593" t="inlineStr">
        <is>
          <t>งานประจำวัน</t>
        </is>
      </c>
      <c r="J1593" t="inlineStr">
        <is>
          <t>Done</t>
        </is>
      </c>
      <c r="K1593"/>
      <c r="L1593" s="3" t="str">
        <f>=HYPERLINK("https://www.facebook.com/iMoDDrive/posts/pfbid022k3vqhWUJNcgBjANhtQ7ZTd32TFDYbYhqk1Nx2tmC1QuZzBRfV5qijocw6Txoq8Ll", "https://www.facebook.com/iMoDDrive/posts/pfbid022k3vqhWUJNcgBjANhtQ7ZTd32TFDYbYhqk1Nx2tmC1QuZzBRfV5qijocw6Txoq8Ll")</f>
        <v>https://www.facebook.com/iMoDDrive/posts/pfbid022k3vqhWUJNcgBjANhtQ7ZTd32TFDYbYhqk1Nx2tmC1QuZzBRfV5qijocw6Txoq8Ll</v>
      </c>
      <c r="M1593" t="inlineStr">
        <is>
          <t>1</t>
        </is>
      </c>
      <c r="N1593" t="inlineStr">
        <is>
          <t>EV</t>
        </is>
      </c>
      <c r="O1593"/>
    </row>
    <row r="1594" ht="12.75" customHeight="1">
      <c r="A1594" t="inlineStr">
        <is>
          <t>Tesla เปิดตัว Model S และ Model X รุ่นใหม่ ในสหรัฐอเมริกา ชมสรุปสิ่งใหม่</t>
        </is>
      </c>
      <c r="B1594" t="inlineStr">
        <is>
          <t>Sakura</t>
        </is>
      </c>
      <c r="C1594" s="2">
        <v>45821</v>
      </c>
      <c r="D1594" s="2">
        <v>45821</v>
      </c>
      <c r="E1594" t="inlineStr">
        <is>
          <t>ปกติ</t>
        </is>
      </c>
      <c r="F1594" s="3" t="str">
        <f>=HYPERLINK("https://ev.iphonemod.net/tesla-launched-new-model-s-model-x-2025-us/", "https://ev.iphonemod.net/tesla-launched-new-model-s-model-x-2025-us/")</f>
        <v>https://ev.iphonemod.net/tesla-launched-new-model-s-model-x-2025-us/</v>
      </c>
      <c r="G1594"/>
      <c r="H1594" t="inlineStr">
        <is>
          <t>Website, Pic Posts / Album</t>
        </is>
      </c>
      <c r="I1594" t="inlineStr">
        <is>
          <t>งานประจำวัน</t>
        </is>
      </c>
      <c r="J1594" t="inlineStr">
        <is>
          <t>Done</t>
        </is>
      </c>
      <c r="K1594"/>
      <c r="L1594" s="3" t="str">
        <f>=HYPERLINK("https://www.facebook.com/iPhonemod/posts/pfbid0dpCYRp6qYWVZixgqynxFEgeRnCTok8VRoj6nQQsgYtzhbYmiw4QmkkQzs48WrJjSl?__cft__[0]=AZU_53t6hImXIpx533byozdFj1HvogijbomYoRO2vc_tQ1o5YTQ9LyoCdnOx8ILUztfKOJUbN6nHddFfGQBduvjwbBHYmLqM1wwY7t7G0q-lBBDLdK0YuhRiRB6WQkGST8prUZV1uSrLwwbDzATA1Z8Ab0AFNR5VATLFSgZf1F4164z88wrydpqoY5XSu3yVEN9Cf8fZJLGlJTdVf_pxHhbBTijrZzh8VqSMOhRwEH2j5Q&amp;__tn__=%2CO%2CP-y-R", "https://www.facebook.com/iPhonemod/posts/pfbid0dpCYRp6qYWVZixgqynxFEgeRnCTok8VRoj6nQQsgYtzhbYmiw4QmkkQzs48WrJjSl?__cft__[0]=AZU_53t6hImXIpx533byozdFj1HvogijbomYoRO2vc_tQ1o5YTQ9LyoCdnOx8ILUztfKOJUbN6nHddFfGQBduvjwbBHYmLqM1wwY7t7G0q-lBBDLdK0YuhRiRB6WQkGST8prUZV1uSrLwwbDzATA1Z8Ab0AFNR5VATLFSgZf1F4164z88wrydpqoY5XSu3yVEN9Cf8fZJLGlJTdVf_pxHhbBTijrZzh8VqSMOhRwEH2j5Q&amp;__tn__=%2CO%2CP-y-R")</f>
        <v>https://www.facebook.com/iPhonemod/posts/pfbid0dpCYRp6qYWVZixgqynxFEgeRnCTok8VRoj6nQQsgYtzhbYmiw4QmkkQzs48WrJjSl?__cft__[0]=AZU_53t6hImXIpx533byozdFj1HvogijbomYoRO2vc_tQ1o5YTQ9LyoCdnOx8ILUztfKOJUbN6nHddFfGQBduvjwbBHYmLqM1wwY7t7G0q-lBBDLdK0YuhRiRB6WQkGST8prUZV1uSrLwwbDzATA1Z8Ab0AFNR5VATLFSgZf1F4164z88wrydpqoY5XSu3yVEN9Cf8fZJLGlJTdVf_pxHhbBTijrZzh8VqSMOhRwEH2j5Q&amp;__tn__=%2CO%2CP-y-R</v>
      </c>
      <c r="M1594" t="inlineStr">
        <is>
          <t>1</t>
        </is>
      </c>
      <c r="N1594" t="inlineStr">
        <is>
          <t>EV</t>
        </is>
      </c>
      <c r="O1594"/>
    </row>
    <row r="1595" ht="12.75" customHeight="1">
      <c r="A1595" t="inlineStr">
        <is>
          <t>GWM เปิดตัว ORA GOOD CAT สีใหม่ Black &amp; White</t>
        </is>
      </c>
      <c r="B1595" t="inlineStr">
        <is>
          <t>Sakura</t>
        </is>
      </c>
      <c r="C1595" s="2">
        <v>45821</v>
      </c>
      <c r="D1595" s="2">
        <v>45821</v>
      </c>
      <c r="E1595" t="inlineStr">
        <is>
          <t>ปกติ</t>
        </is>
      </c>
      <c r="F1595" s="3"/>
      <c r="G1595"/>
      <c r="H1595" t="inlineStr">
        <is>
          <t>Pic Posts / Album</t>
        </is>
      </c>
      <c r="I1595" t="inlineStr">
        <is>
          <t>งานประจำวัน</t>
        </is>
      </c>
      <c r="J1595" t="inlineStr">
        <is>
          <t>Done</t>
        </is>
      </c>
      <c r="K1595"/>
      <c r="L1595" s="3" t="str">
        <f>=HYPERLINK("https://www.facebook.com/iPhonemod/posts/pfbid02xBS7QBFHawJGwdXLvdiUKwoC1Kzc8AX9ETHArzAVYCzj6UirppyiUikjtJPHZgYdl", "https://www.facebook.com/iPhonemod/posts/pfbid02xBS7QBFHawJGwdXLvdiUKwoC1Kzc8AX9ETHArzAVYCzj6UirppyiUikjtJPHZgYdl")</f>
        <v>https://www.facebook.com/iPhonemod/posts/pfbid02xBS7QBFHawJGwdXLvdiUKwoC1Kzc8AX9ETHArzAVYCzj6UirppyiUikjtJPHZgYdl</v>
      </c>
      <c r="M1595" t="inlineStr">
        <is>
          <t>1</t>
        </is>
      </c>
      <c r="N1595" t="inlineStr">
        <is>
          <t>EV</t>
        </is>
      </c>
      <c r="O1595"/>
    </row>
    <row r="1596" ht="12.75" customHeight="1">
      <c r="A1596" t="inlineStr">
        <is>
          <t>AION UT Test Drive</t>
        </is>
      </c>
      <c r="B1596" t="inlineStr">
        <is>
          <t>Sakura</t>
        </is>
      </c>
      <c r="C1596" s="2">
        <v>45821</v>
      </c>
      <c r="D1596" s="2">
        <v>45821</v>
      </c>
      <c r="E1596" t="inlineStr">
        <is>
          <t>ปกติ</t>
        </is>
      </c>
      <c r="F1596" s="3"/>
      <c r="G1596"/>
      <c r="H1596" t="inlineStr">
        <is>
          <t>Pic Posts / Album</t>
        </is>
      </c>
      <c r="I1596" t="inlineStr">
        <is>
          <t>งานประจำวัน, งานลูกค้า</t>
        </is>
      </c>
      <c r="J1596" t="inlineStr">
        <is>
          <t>Done</t>
        </is>
      </c>
      <c r="K1596"/>
      <c r="L1596" s="3" t="str">
        <f>=HYPERLINK("https://www.facebook.com/iPhonemod/posts/pfbid0vsyFMMdBWrmAPMsKEcy2BqHv6ea3oqAZcpeeUvqfmunWSJTpd7wtyBhr7T8bV8fel", "https://www.facebook.com/iPhonemod/posts/pfbid0vsyFMMdBWrmAPMsKEcy2BqHv6ea3oqAZcpeeUvqfmunWSJTpd7wtyBhr7T8bV8fel")</f>
        <v>https://www.facebook.com/iPhonemod/posts/pfbid0vsyFMMdBWrmAPMsKEcy2BqHv6ea3oqAZcpeeUvqfmunWSJTpd7wtyBhr7T8bV8fel</v>
      </c>
      <c r="M1596" t="inlineStr">
        <is>
          <t>1</t>
        </is>
      </c>
      <c r="N1596" t="inlineStr">
        <is>
          <t>EV</t>
        </is>
      </c>
      <c r="O1596"/>
    </row>
    <row r="1597" ht="12.75" customHeight="1">
      <c r="A1597" t="inlineStr">
        <is>
          <t>เปิดจอง Nintendo Switch 2 | Studio 7</t>
        </is>
      </c>
      <c r="B1597" t="inlineStr">
        <is>
          <t>Thitirath Kinaret</t>
        </is>
      </c>
      <c r="C1597" s="2">
        <v>45820</v>
      </c>
      <c r="D1597" s="2">
        <v>45820</v>
      </c>
      <c r="E1597" t="inlineStr">
        <is>
          <t>ปกติ</t>
        </is>
      </c>
      <c r="F1597" s="3"/>
      <c r="G1597"/>
      <c r="H1597" t="inlineStr">
        <is>
          <t>Pic Posts / Album, Event</t>
        </is>
      </c>
      <c r="I1597" t="inlineStr">
        <is>
          <t>งานลูกค้า</t>
        </is>
      </c>
      <c r="J1597" t="inlineStr">
        <is>
          <t>Done</t>
        </is>
      </c>
      <c r="K1597"/>
      <c r="L1597" s="3" t="str">
        <f>=HYPERLINK("https://www.facebook.com/iPhonemod/posts/pfbid02ic2dNwcE3WPFbLrTtBoXJGw31xSGXGvJizRBjQVsVTEbFZrPrRurAH4BAoZWLh8ql", "https://www.facebook.com/iPhonemod/posts/pfbid02ic2dNwcE3WPFbLrTtBoXJGw31xSGXGvJizRBjQVsVTEbFZrPrRurAH4BAoZWLh8ql")</f>
        <v>https://www.facebook.com/iPhonemod/posts/pfbid02ic2dNwcE3WPFbLrTtBoXJGw31xSGXGvJizRBjQVsVTEbFZrPrRurAH4BAoZWLh8ql</v>
      </c>
      <c r="M1597" t="inlineStr">
        <is>
          <t>1</t>
        </is>
      </c>
      <c r="N1597" t="inlineStr">
        <is>
          <t>Tech</t>
        </is>
      </c>
      <c r="O1597"/>
    </row>
    <row r="1598" ht="12.75" customHeight="1">
      <c r="A1598" t="inlineStr">
        <is>
          <t>iOS 26 แคปหน้าจอรูปภาพ วิดีโอ แบบ HDR ได้</t>
        </is>
      </c>
      <c r="B1598" t="inlineStr">
        <is>
          <t>Thitirath Kinaret</t>
        </is>
      </c>
      <c r="C1598" s="2">
        <v>45820</v>
      </c>
      <c r="D1598" s="2">
        <v>45820</v>
      </c>
      <c r="E1598" t="inlineStr">
        <is>
          <t>ปกติ</t>
        </is>
      </c>
      <c r="F1598" s="3"/>
      <c r="G1598"/>
      <c r="H1598" t="inlineStr">
        <is>
          <t>Website</t>
        </is>
      </c>
      <c r="I1598" t="inlineStr">
        <is>
          <t>งานประจำวัน</t>
        </is>
      </c>
      <c r="J1598" t="inlineStr">
        <is>
          <t>Done</t>
        </is>
      </c>
      <c r="K1598"/>
      <c r="L1598" s="3" t="str">
        <f>=HYPERLINK("https://www.iphonemod.net/ios-26-support-hdr-screen-capture.html", "https://www.iphonemod.net/ios-26-support-hdr-screen-capture.html")</f>
        <v>https://www.iphonemod.net/ios-26-support-hdr-screen-capture.html</v>
      </c>
      <c r="M1598" t="inlineStr">
        <is>
          <t>1</t>
        </is>
      </c>
      <c r="N1598" t="inlineStr">
        <is>
          <t>Apple</t>
        </is>
      </c>
      <c r="O1598"/>
    </row>
    <row r="1599" ht="12.75" customHeight="1">
      <c r="A1599" t="inlineStr">
        <is>
          <t xml:space="preserve"> iOS 26 หน้าจอล็อคใหม่ สวยกว่าเดิม</t>
        </is>
      </c>
      <c r="B1599" t="inlineStr">
        <is>
          <t>Saktaphat Kordjan</t>
        </is>
      </c>
      <c r="C1599" s="2">
        <v>45820</v>
      </c>
      <c r="D1599" s="2"/>
      <c r="E1599" t="inlineStr">
        <is>
          <t>ปกติ</t>
        </is>
      </c>
      <c r="F1599" s="3"/>
      <c r="G1599"/>
      <c r="H1599" t="inlineStr">
        <is>
          <t>Website</t>
        </is>
      </c>
      <c r="I1599" t="inlineStr">
        <is>
          <t>งานประจำวัน</t>
        </is>
      </c>
      <c r="J1599" t="inlineStr">
        <is>
          <t>Done</t>
        </is>
      </c>
      <c r="K1599"/>
      <c r="L1599" s="3"/>
      <c r="M1599" t="inlineStr">
        <is>
          <t>1</t>
        </is>
      </c>
      <c r="N1599" t="inlineStr">
        <is>
          <t>Apple</t>
        </is>
      </c>
      <c r="O1599"/>
    </row>
    <row r="1600" ht="12.75" customHeight="1">
      <c r="A1600" t="inlineStr">
        <is>
          <t>Apple Music บน iOS 26 แปลเนื้อเพลงได้</t>
        </is>
      </c>
      <c r="B1600" t="inlineStr">
        <is>
          <t>Saktaphat Kordjan</t>
        </is>
      </c>
      <c r="C1600" s="2">
        <v>45820</v>
      </c>
      <c r="D1600" s="2"/>
      <c r="E1600" t="inlineStr">
        <is>
          <t>ปกติ</t>
        </is>
      </c>
      <c r="F1600" s="3"/>
      <c r="G1600"/>
      <c r="H1600" t="inlineStr">
        <is>
          <t>Website</t>
        </is>
      </c>
      <c r="I1600" t="inlineStr">
        <is>
          <t>งานประจำวัน</t>
        </is>
      </c>
      <c r="J1600" t="inlineStr">
        <is>
          <t>Done</t>
        </is>
      </c>
      <c r="K1600"/>
      <c r="L1600" s="3"/>
      <c r="M1600" t="inlineStr">
        <is>
          <t>1</t>
        </is>
      </c>
      <c r="N1600" t="inlineStr">
        <is>
          <t>Apple</t>
        </is>
      </c>
      <c r="O1600"/>
    </row>
    <row r="1601" ht="12.75" customHeight="1">
      <c r="A1601" t="inlineStr">
        <is>
          <t xml:space="preserve">iOS 26 เพิ่มแอปเกมใหม่ </t>
        </is>
      </c>
      <c r="B1601" t="inlineStr">
        <is>
          <t>Saktaphat Kordjan</t>
        </is>
      </c>
      <c r="C1601" s="2">
        <v>45820</v>
      </c>
      <c r="D1601" s="2"/>
      <c r="E1601" t="inlineStr">
        <is>
          <t>ปกติ</t>
        </is>
      </c>
      <c r="F1601" s="3"/>
      <c r="G1601"/>
      <c r="H1601" t="inlineStr">
        <is>
          <t>Website</t>
        </is>
      </c>
      <c r="I1601" t="inlineStr">
        <is>
          <t>งานประจำวัน</t>
        </is>
      </c>
      <c r="J1601" t="inlineStr">
        <is>
          <t>Done</t>
        </is>
      </c>
      <c r="K1601"/>
      <c r="L1601" s="3"/>
      <c r="M1601" t="inlineStr">
        <is>
          <t>1</t>
        </is>
      </c>
      <c r="N1601" t="inlineStr">
        <is>
          <t>Apple</t>
        </is>
      </c>
      <c r="O1601"/>
    </row>
    <row r="1602" ht="12.75" customHeight="1">
      <c r="A1602" t="inlineStr">
        <is>
          <t>Live Translation ใน ฟีเจอร์iPadOS 26 ถอดข้อความจากเสียงได้!</t>
        </is>
      </c>
      <c r="B1602" t="inlineStr">
        <is>
          <t>Nattida Suriyodara</t>
        </is>
      </c>
      <c r="C1602" s="2">
        <v>45820</v>
      </c>
      <c r="D1602" s="2"/>
      <c r="E1602" t="inlineStr">
        <is>
          <t>ปกติ</t>
        </is>
      </c>
      <c r="F1602" s="3"/>
      <c r="G1602"/>
      <c r="H1602" t="inlineStr">
        <is>
          <t>Website</t>
        </is>
      </c>
      <c r="I1602" t="inlineStr">
        <is>
          <t>งานประจำวัน</t>
        </is>
      </c>
      <c r="J1602" t="inlineStr">
        <is>
          <t>Done</t>
        </is>
      </c>
      <c r="K1602"/>
      <c r="L1602" s="3" t="str">
        <f>=HYPERLINK("https://www.iphonemod.net/live-translation-ipad-os-26-developers-beta.html", "https://www.iphonemod.net/live-translation-ipad-os-26-developers-beta.html")</f>
        <v>https://www.iphonemod.net/live-translation-ipad-os-26-developers-beta.html</v>
      </c>
      <c r="M1602" t="inlineStr">
        <is>
          <t>1</t>
        </is>
      </c>
      <c r="N1602" t="inlineStr">
        <is>
          <t>Apple</t>
        </is>
      </c>
      <c r="O1602"/>
    </row>
    <row r="1603" ht="12.75" customHeight="1">
      <c r="A1603" t="inlineStr">
        <is>
          <t xml:space="preserve">ฟีเจอร์ แป้นภาษาไทย 24 ตัว iOS26 </t>
        </is>
      </c>
      <c r="B1603" t="inlineStr">
        <is>
          <t>Saktaphat Kordjan,Sasithakan Sritonthip</t>
        </is>
      </c>
      <c r="C1603" s="2">
        <v>45820</v>
      </c>
      <c r="D1603" s="2"/>
      <c r="E1603" t="inlineStr">
        <is>
          <t>ด่วน!</t>
        </is>
      </c>
      <c r="F1603" s="3"/>
      <c r="G1603"/>
      <c r="H1603" t="inlineStr">
        <is>
          <t>Shorts</t>
        </is>
      </c>
      <c r="I1603" t="inlineStr">
        <is>
          <t>งานประจำวัน</t>
        </is>
      </c>
      <c r="J1603" t="inlineStr">
        <is>
          <t>Done</t>
        </is>
      </c>
      <c r="K1603"/>
      <c r="L1603" s="3"/>
      <c r="M1603" t="inlineStr">
        <is>
          <t>1</t>
        </is>
      </c>
      <c r="N1603" t="inlineStr">
        <is>
          <t>Apple</t>
        </is>
      </c>
      <c r="O1603"/>
    </row>
    <row r="1604" ht="12.75" customHeight="1">
      <c r="A1604" t="inlineStr">
        <is>
          <t>iPadOS 26 มีแอป Phone แต่ถ้าโทรเบอร์มือถือ ยังต้องผ่าน iPhone
</t>
        </is>
      </c>
      <c r="B1604" t="inlineStr">
        <is>
          <t>Thitirath Kinaret</t>
        </is>
      </c>
      <c r="C1604" s="2">
        <v>45820</v>
      </c>
      <c r="D1604" s="2">
        <v>45820</v>
      </c>
      <c r="E1604" t="inlineStr">
        <is>
          <t>ปกติ</t>
        </is>
      </c>
      <c r="F1604" s="3"/>
      <c r="G1604"/>
      <c r="H1604" t="inlineStr">
        <is>
          <t>Pic Posts / Album, Website</t>
        </is>
      </c>
      <c r="I1604" t="inlineStr">
        <is>
          <t>งานประจำวัน</t>
        </is>
      </c>
      <c r="J1604" t="inlineStr">
        <is>
          <t>Done</t>
        </is>
      </c>
      <c r="K1604"/>
      <c r="L1604" s="3" t="str">
        <f>=HYPERLINK("https://www.iphonemod.net/ipados-26-phone-app-calling-feature-with-iphone.html", "https://www.iphonemod.net/ipados-26-phone-app-calling-feature-with-iphone.html")</f>
        <v>https://www.iphonemod.net/ipados-26-phone-app-calling-feature-with-iphone.html</v>
      </c>
      <c r="M1604" t="inlineStr">
        <is>
          <t>1</t>
        </is>
      </c>
      <c r="N1604" t="inlineStr">
        <is>
          <t>Apple</t>
        </is>
      </c>
      <c r="O1604"/>
    </row>
    <row r="1605" ht="12.75" customHeight="1">
      <c r="A1605" t="inlineStr">
        <is>
          <t>iOS 26 ปรับหน้าจอนาฬิกาปลุกใหม่ ปุ่มใหญ่เต็มจอ
</t>
        </is>
      </c>
      <c r="B1605" t="inlineStr">
        <is>
          <t>Thitirath Kinaret</t>
        </is>
      </c>
      <c r="C1605" s="2">
        <v>45820</v>
      </c>
      <c r="D1605" s="2">
        <v>45820</v>
      </c>
      <c r="E1605" t="inlineStr">
        <is>
          <t>ปกติ</t>
        </is>
      </c>
      <c r="F1605" s="3"/>
      <c r="G1605"/>
      <c r="H1605" t="inlineStr">
        <is>
          <t>Website, Pic Posts / Album</t>
        </is>
      </c>
      <c r="I1605" t="inlineStr">
        <is>
          <t>งานประจำวัน</t>
        </is>
      </c>
      <c r="J1605" t="inlineStr">
        <is>
          <t>Done</t>
        </is>
      </c>
      <c r="K1605"/>
      <c r="L1605" s="3" t="str">
        <f>=HYPERLINK("https://www.iphonemod.net/ios-26-redesign-alarm-interface.html", "https://www.iphonemod.net/ios-26-redesign-alarm-interface.html")</f>
        <v>https://www.iphonemod.net/ios-26-redesign-alarm-interface.html</v>
      </c>
      <c r="M1605" t="inlineStr">
        <is>
          <t>1</t>
        </is>
      </c>
      <c r="N1605" t="inlineStr">
        <is>
          <t>Apple</t>
        </is>
      </c>
      <c r="O1605"/>
    </row>
    <row r="1606" ht="12.75" customHeight="1">
      <c r="A1606" t="inlineStr">
        <is>
          <t>BMW iX3 ใหม่ จุดเริ่มต้นของยุค Neue Klasse พร้อมแข่งกับ Mercedes-Benz GLC EV</t>
        </is>
      </c>
      <c r="B1606" t="inlineStr">
        <is>
          <t>Nuttanon</t>
        </is>
      </c>
      <c r="C1606" s="2">
        <v>45820</v>
      </c>
      <c r="D1606" s="2">
        <v>45820</v>
      </c>
      <c r="E1606" t="inlineStr">
        <is>
          <t>ปกติ</t>
        </is>
      </c>
      <c r="F1606" s="3"/>
      <c r="G1606"/>
      <c r="H1606" t="inlineStr">
        <is>
          <t>Website</t>
        </is>
      </c>
      <c r="I1606" t="inlineStr">
        <is>
          <t>งานประจำวัน</t>
        </is>
      </c>
      <c r="J1606" t="inlineStr">
        <is>
          <t>Done</t>
        </is>
      </c>
      <c r="K1606"/>
      <c r="L1606" s="3" t="str">
        <f>=HYPERLINK("https://ev.iphonemod.net/bmw-ix3-neue-klasse-2026/", "https://ev.iphonemod.net/bmw-ix3-neue-klasse-2026/")</f>
        <v>https://ev.iphonemod.net/bmw-ix3-neue-klasse-2026/</v>
      </c>
      <c r="M1606" t="inlineStr">
        <is>
          <t>1</t>
        </is>
      </c>
      <c r="N1606" t="inlineStr">
        <is>
          <t>EV</t>
        </is>
      </c>
      <c r="O1606"/>
    </row>
    <row r="1607" ht="12.75" customHeight="1">
      <c r="A1607" t="inlineStr">
        <is>
          <t>เชื่อมต่อทุกมิติการขับขี่ สู่ประสบการณ์ดิจิทัลที่ตอบโจทย์ทุกการเดินทาง จาก BMW และ MINI</t>
        </is>
      </c>
      <c r="B1607" t="inlineStr">
        <is>
          <t>Nuttanon</t>
        </is>
      </c>
      <c r="C1607" s="2">
        <v>45820</v>
      </c>
      <c r="D1607" s="2">
        <v>45820</v>
      </c>
      <c r="E1607" t="inlineStr">
        <is>
          <t>ปกติ</t>
        </is>
      </c>
      <c r="F1607" s="3"/>
      <c r="G1607"/>
      <c r="H1607" t="inlineStr">
        <is>
          <t>Website</t>
        </is>
      </c>
      <c r="I1607" t="inlineStr">
        <is>
          <t>งานประจำวัน</t>
        </is>
      </c>
      <c r="J1607" t="inlineStr">
        <is>
          <t>Done</t>
        </is>
      </c>
      <c r="K1607"/>
      <c r="L1607" s="3" t="str">
        <f>=HYPERLINK("https://ev.iphonemod.net/bmw-mini-connected-services-app/", "https://ev.iphonemod.net/bmw-mini-connected-services-app/")</f>
        <v>https://ev.iphonemod.net/bmw-mini-connected-services-app/</v>
      </c>
      <c r="M1607" t="inlineStr">
        <is>
          <t>1</t>
        </is>
      </c>
      <c r="N1607" t="inlineStr">
        <is>
          <t>EV, PR</t>
        </is>
      </c>
      <c r="O1607"/>
    </row>
    <row r="1608" ht="12.75" customHeight="1">
      <c r="A1608" t="inlineStr">
        <is>
          <t>เปิดตัว Rolls-Royce SPECTRE Black Badge ทรงพลังที่สุดในประวัติศาสตร์ของแบรนด์ ภายใต้คอนเซปต์ ‘THE ALTER EGO, AMPLIFIED’</t>
        </is>
      </c>
      <c r="B1608" t="inlineStr">
        <is>
          <t>Nuttanon</t>
        </is>
      </c>
      <c r="C1608" s="2">
        <v>45820</v>
      </c>
      <c r="D1608" s="2">
        <v>45820</v>
      </c>
      <c r="E1608" t="inlineStr">
        <is>
          <t>ปกติ</t>
        </is>
      </c>
      <c r="F1608" s="3"/>
      <c r="G1608"/>
      <c r="H1608" t="inlineStr">
        <is>
          <t>Website</t>
        </is>
      </c>
      <c r="I1608" t="inlineStr">
        <is>
          <t>งานประจำวัน</t>
        </is>
      </c>
      <c r="J1608" t="inlineStr">
        <is>
          <t>Done</t>
        </is>
      </c>
      <c r="K1608"/>
      <c r="L1608" s="3" t="str">
        <f>=HYPERLINK("https://ev.iphonemod.net/rolls-royce-spectre-black-badge-thailand-launch/", "https://ev.iphonemod.net/rolls-royce-spectre-black-badge-thailand-launch/")</f>
        <v>https://ev.iphonemod.net/rolls-royce-spectre-black-badge-thailand-launch/</v>
      </c>
      <c r="M1608" t="inlineStr">
        <is>
          <t>1</t>
        </is>
      </c>
      <c r="N1608" t="inlineStr">
        <is>
          <t>EV, PR</t>
        </is>
      </c>
      <c r="O1608"/>
    </row>
    <row r="1609" ht="12.75" customHeight="1">
      <c r="A1609" t="inlineStr">
        <is>
          <t>Mercedes-Benz เตรียมปล่อยรถตู้ MPV ไฟฟ้าหรู Ultra-Luxury เร็ว ๆ นี้</t>
        </is>
      </c>
      <c r="B1609" t="inlineStr">
        <is>
          <t>Nuttanon</t>
        </is>
      </c>
      <c r="C1609" s="2">
        <v>45820</v>
      </c>
      <c r="D1609" s="2">
        <v>45820</v>
      </c>
      <c r="E1609" t="inlineStr">
        <is>
          <t>ปกติ</t>
        </is>
      </c>
      <c r="F1609" s="3"/>
      <c r="G1609"/>
      <c r="H1609" t="inlineStr">
        <is>
          <t>Website</t>
        </is>
      </c>
      <c r="I1609" t="inlineStr">
        <is>
          <t>งานประจำวัน</t>
        </is>
      </c>
      <c r="J1609" t="inlineStr">
        <is>
          <t>Done</t>
        </is>
      </c>
      <c r="K1609"/>
      <c r="L1609" s="3" t="str">
        <f>=HYPERLINK("https://ev.iphonemod.net/mercedes-benz-will-launch-ultra-luxury-mpv-soon/", "https://ev.iphonemod.net/mercedes-benz-will-launch-ultra-luxury-mpv-soon/")</f>
        <v>https://ev.iphonemod.net/mercedes-benz-will-launch-ultra-luxury-mpv-soon/</v>
      </c>
      <c r="M1609" t="inlineStr">
        <is>
          <t>1</t>
        </is>
      </c>
      <c r="N1609" t="inlineStr">
        <is>
          <t>EV</t>
        </is>
      </c>
      <c r="O1609"/>
    </row>
    <row r="1610" ht="12.75" customHeight="1">
      <c r="A1610" t="inlineStr">
        <is>
          <t xml:space="preserve">Volvo เปิดตัวเข็มขัดนิรภัย Multi-Adaptive นวัตกรรมใหม่ในรอบ 66 ปี! </t>
        </is>
      </c>
      <c r="B1610" t="inlineStr">
        <is>
          <t>Nuttanon</t>
        </is>
      </c>
      <c r="C1610" s="2">
        <v>45820</v>
      </c>
      <c r="D1610" s="2">
        <v>45820</v>
      </c>
      <c r="E1610" t="inlineStr">
        <is>
          <t>ปกติ</t>
        </is>
      </c>
      <c r="F1610" s="3"/>
      <c r="G1610"/>
      <c r="H1610" t="inlineStr">
        <is>
          <t>Shorts</t>
        </is>
      </c>
      <c r="I1610" t="inlineStr">
        <is>
          <t>งานประจำวัน</t>
        </is>
      </c>
      <c r="J1610" t="inlineStr">
        <is>
          <t>Done</t>
        </is>
      </c>
      <c r="K1610"/>
      <c r="L1610" s="3" t="str">
        <f>=HYPERLINK("https://www.facebook.com/reel/", "https://www.facebook.com/reel/")</f>
        <v>https://www.facebook.com/reel/</v>
      </c>
      <c r="M1610" t="inlineStr">
        <is>
          <t>1</t>
        </is>
      </c>
      <c r="N1610" t="inlineStr">
        <is>
          <t>EV</t>
        </is>
      </c>
      <c r="O1610"/>
    </row>
    <row r="1611" ht="12.75" customHeight="1">
      <c r="A1611" t="inlineStr">
        <is>
          <t xml:space="preserve">เปิดตัว XPENG G7 รถ SUV ไฟฟ้า ขับขี่ด้วย AI ระดับ L3 ชิป AI Turing พร้อม AR-HUD จาก Huawei </t>
        </is>
      </c>
      <c r="B1611" t="inlineStr">
        <is>
          <t>Nuttanon</t>
        </is>
      </c>
      <c r="C1611" s="2">
        <v>45820</v>
      </c>
      <c r="D1611" s="2">
        <v>45820</v>
      </c>
      <c r="E1611" t="inlineStr">
        <is>
          <t>ด่วน!</t>
        </is>
      </c>
      <c r="F1611" s="3"/>
      <c r="G1611"/>
      <c r="H1611" t="inlineStr">
        <is>
          <t>YouTube</t>
        </is>
      </c>
      <c r="I1611" t="inlineStr">
        <is>
          <t>งานประจำวัน</t>
        </is>
      </c>
      <c r="J1611" t="inlineStr">
        <is>
          <t>Done</t>
        </is>
      </c>
      <c r="K1611"/>
      <c r="L1611" s="3" t="str">
        <f>=HYPERLINK("https://www.youtube.com/watch?v=XwSpk9JzkcA&amp;t=75s", "https://www.youtube.com/watch?v=XwSpk9JzkcA&amp;t=75s")</f>
        <v>https://www.youtube.com/watch?v=XwSpk9JzkcA&amp;t=75s</v>
      </c>
      <c r="M1611" t="inlineStr">
        <is>
          <t>1</t>
        </is>
      </c>
      <c r="N1611" t="inlineStr">
        <is>
          <t>EV</t>
        </is>
      </c>
      <c r="O1611"/>
    </row>
    <row r="1612" ht="12.75" customHeight="1">
      <c r="A1612" t="inlineStr">
        <is>
          <t>Tesla เปิดตัวการประกวดวิดีโอ TeslaVision ฉลองการส่งมอบ Model Y</t>
        </is>
      </c>
      <c r="B1612" t="inlineStr">
        <is>
          <t>Sakura</t>
        </is>
      </c>
      <c r="C1612" s="2">
        <v>45820</v>
      </c>
      <c r="D1612" s="2">
        <v>45820</v>
      </c>
      <c r="E1612" t="inlineStr">
        <is>
          <t>ปกติ</t>
        </is>
      </c>
      <c r="F1612" s="3"/>
      <c r="G1612"/>
      <c r="H1612" t="inlineStr">
        <is>
          <t>Website</t>
        </is>
      </c>
      <c r="I1612" t="inlineStr">
        <is>
          <t>งานประจำวัน</t>
        </is>
      </c>
      <c r="J1612" t="inlineStr">
        <is>
          <t>Done</t>
        </is>
      </c>
      <c r="K1612"/>
      <c r="L1612" s="3" t="str">
        <f>=HYPERLINK("https://ev.iphonemod.net/tesla-launched-teslavision-video-contest/", "https://ev.iphonemod.net/tesla-launched-teslavision-video-contest/")</f>
        <v>https://ev.iphonemod.net/tesla-launched-teslavision-video-contest/</v>
      </c>
      <c r="M1612" t="inlineStr">
        <is>
          <t>1</t>
        </is>
      </c>
      <c r="N1612" t="inlineStr">
        <is>
          <t>EV</t>
        </is>
      </c>
      <c r="O1612"/>
    </row>
    <row r="1613" ht="12.75" customHeight="1">
      <c r="A1613" t="inlineStr">
        <is>
          <t>Elon Musk เผย Tesla Robotaxi เปิดให้บริการสาธารณะครั้งแรก 22 มิ.ย. นี้ ในเมืองออสติน</t>
        </is>
      </c>
      <c r="B1613" t="inlineStr">
        <is>
          <t>Sakura</t>
        </is>
      </c>
      <c r="C1613" s="2">
        <v>45820</v>
      </c>
      <c r="D1613" s="2">
        <v>45820</v>
      </c>
      <c r="E1613" t="inlineStr">
        <is>
          <t>ปกติ</t>
        </is>
      </c>
      <c r="F1613" s="3" t="str">
        <f>=HYPERLINK("https://ev.iphonemod.net/elon-musk-confirm-robotaxi-reveals-22-june-2025/", "https://ev.iphonemod.net/elon-musk-confirm-robotaxi-reveals-22-june-2025/")</f>
        <v>https://ev.iphonemod.net/elon-musk-confirm-robotaxi-reveals-22-june-2025/</v>
      </c>
      <c r="G1613"/>
      <c r="H1613" t="inlineStr">
        <is>
          <t>Website, Pic Posts / Album</t>
        </is>
      </c>
      <c r="I1613" t="inlineStr">
        <is>
          <t>งานประจำวัน</t>
        </is>
      </c>
      <c r="J1613" t="inlineStr">
        <is>
          <t>Done</t>
        </is>
      </c>
      <c r="K1613"/>
      <c r="L1613" s="3" t="str">
        <f>=HYPERLINK("https://www.facebook.com/iMoDDrive/posts/pfbid069wXx9zFwHsxz7dvbp3wkKM676AszRZ5VsZRrxAs7wReTjxcqJtezKe9DpbfYK7fl", "https://www.facebook.com/iMoDDrive/posts/pfbid069wXx9zFwHsxz7dvbp3wkKM676AszRZ5VsZRrxAs7wReTjxcqJtezKe9DpbfYK7fl")</f>
        <v>https://www.facebook.com/iMoDDrive/posts/pfbid069wXx9zFwHsxz7dvbp3wkKM676AszRZ5VsZRrxAs7wReTjxcqJtezKe9DpbfYK7fl</v>
      </c>
      <c r="M1613" t="inlineStr">
        <is>
          <t>1</t>
        </is>
      </c>
      <c r="N1613" t="inlineStr">
        <is>
          <t>EV</t>
        </is>
      </c>
      <c r="O1613"/>
    </row>
    <row r="1614" ht="12.75" customHeight="1">
      <c r="A1614" t="inlineStr">
        <is>
          <t>Subaru Brat รถกระบะสุดเฟี้ยวยุค 70 จะกลับมาในเวอร์ชัน EV โดยร่วมมือกับ Toyota</t>
        </is>
      </c>
      <c r="B1614" t="inlineStr">
        <is>
          <t>Sakura</t>
        </is>
      </c>
      <c r="C1614" s="2">
        <v>45820</v>
      </c>
      <c r="D1614" s="2">
        <v>45820</v>
      </c>
      <c r="E1614" t="inlineStr">
        <is>
          <t>ปกติ</t>
        </is>
      </c>
      <c r="F1614" s="3"/>
      <c r="G1614"/>
      <c r="H1614" t="inlineStr">
        <is>
          <t>Website</t>
        </is>
      </c>
      <c r="I1614" t="inlineStr">
        <is>
          <t>งานประจำวัน</t>
        </is>
      </c>
      <c r="J1614" t="inlineStr">
        <is>
          <t>Done</t>
        </is>
      </c>
      <c r="K1614"/>
      <c r="L1614" s="3" t="str">
        <f>=HYPERLINK("https://ev.iphonemod.net/subaru-brat-pick-up-will-comback-full-electric/", "https://ev.iphonemod.net/subaru-brat-pick-up-will-comback-full-electric/")</f>
        <v>https://ev.iphonemod.net/subaru-brat-pick-up-will-comback-full-electric/</v>
      </c>
      <c r="M1614" t="inlineStr">
        <is>
          <t>1</t>
        </is>
      </c>
      <c r="N1614" t="inlineStr">
        <is>
          <t>EV</t>
        </is>
      </c>
      <c r="O1614"/>
    </row>
    <row r="1615" ht="12.75" customHeight="1">
      <c r="A1615" t="inlineStr">
        <is>
          <t>Xpeng G7 ทำยอดสั่งจองในจีน มากกว่า 10,000 คัน หลังเปิดตัวเพียง 46 นาที</t>
        </is>
      </c>
      <c r="B1615" t="inlineStr">
        <is>
          <t>Sakura</t>
        </is>
      </c>
      <c r="C1615" s="2">
        <v>45820</v>
      </c>
      <c r="D1615" s="2">
        <v>45820</v>
      </c>
      <c r="E1615" t="inlineStr">
        <is>
          <t>ปกติ</t>
        </is>
      </c>
      <c r="F1615" s="3" t="str">
        <f>=HYPERLINK("https://www.facebook.com/iMoDDrive/posts/pfbid031LoEZh5zAHVMNoxjsFXsJfkN3CAArF3JtDZvE3hbL4Ay21GqV4HxaVoZMrKVT2VJl", "https://www.facebook.com/iMoDDrive/posts/pfbid031LoEZh5zAHVMNoxjsFXsJfkN3CAArF3JtDZvE3hbL4Ay21GqV4HxaVoZMrKVT2VJl")</f>
        <v>https://www.facebook.com/iMoDDrive/posts/pfbid031LoEZh5zAHVMNoxjsFXsJfkN3CAArF3JtDZvE3hbL4Ay21GqV4HxaVoZMrKVT2VJl</v>
      </c>
      <c r="G1615"/>
      <c r="H1615" t="inlineStr">
        <is>
          <t>Website, Pic Posts / Album</t>
        </is>
      </c>
      <c r="I1615" t="inlineStr">
        <is>
          <t>งานประจำวัน</t>
        </is>
      </c>
      <c r="J1615" t="inlineStr">
        <is>
          <t>Done</t>
        </is>
      </c>
      <c r="K1615"/>
      <c r="L1615" s="3" t="str">
        <f>=HYPERLINK("https://ev.iphonemod.net/xpeng-g7-pre-order-10000-in-46-minutes/", "https://ev.iphonemod.net/xpeng-g7-pre-order-10000-in-46-minutes/")</f>
        <v>https://ev.iphonemod.net/xpeng-g7-pre-order-10000-in-46-minutes/</v>
      </c>
      <c r="M1615" t="inlineStr">
        <is>
          <t>1</t>
        </is>
      </c>
      <c r="N1615" t="inlineStr">
        <is>
          <t>EV</t>
        </is>
      </c>
      <c r="O1615"/>
    </row>
    <row r="1616" ht="12.75" customHeight="1">
      <c r="A1616" t="inlineStr">
        <is>
          <t>Tesla เริ่มส่งอีเมลให้กับเจ้าของรถยนต์ แจ้งเรื่องการเปลี่ยนแปลงของแพ็กเกจการเชื่อมต่อแบบพรีเมียม (Premium Connectivity)</t>
        </is>
      </c>
      <c r="B1616" t="inlineStr">
        <is>
          <t>Sakura</t>
        </is>
      </c>
      <c r="C1616" s="2">
        <v>45820</v>
      </c>
      <c r="D1616" s="2">
        <v>45820</v>
      </c>
      <c r="E1616" t="inlineStr">
        <is>
          <t>ปกติ</t>
        </is>
      </c>
      <c r="F1616" s="3"/>
      <c r="G1616"/>
      <c r="H1616" t="inlineStr">
        <is>
          <t>Pic Posts / Album</t>
        </is>
      </c>
      <c r="I1616" t="inlineStr">
        <is>
          <t>งานประจำวัน</t>
        </is>
      </c>
      <c r="J1616" t="inlineStr">
        <is>
          <t>Done</t>
        </is>
      </c>
      <c r="K1616"/>
      <c r="L1616" s="3" t="str">
        <f>=HYPERLINK("https://www.facebook.com/iMoDDrive/posts/pfbid033eoHGN9TGYUtRs1MXxzyK8TeS9XJ7ztSyFE3LLzhy1aSs3QcBv4zSbVLx1AgP8Fhl", "https://www.facebook.com/iMoDDrive/posts/pfbid033eoHGN9TGYUtRs1MXxzyK8TeS9XJ7ztSyFE3LLzhy1aSs3QcBv4zSbVLx1AgP8Fhl")</f>
        <v>https://www.facebook.com/iMoDDrive/posts/pfbid033eoHGN9TGYUtRs1MXxzyK8TeS9XJ7ztSyFE3LLzhy1aSs3QcBv4zSbVLx1AgP8Fhl</v>
      </c>
      <c r="M1616" t="inlineStr">
        <is>
          <t>1</t>
        </is>
      </c>
      <c r="N1616" t="inlineStr">
        <is>
          <t>EV</t>
        </is>
      </c>
      <c r="O1616"/>
    </row>
    <row r="1617" ht="12.75" customHeight="1">
      <c r="A1617" t="inlineStr">
        <is>
          <t>iPadOS 26 เพิ่มแอปโทร เข้ามาแล้ว</t>
        </is>
      </c>
      <c r="B1617" t="inlineStr">
        <is>
          <t>Nattida Suriyodara,Sasithakan Sritonthip</t>
        </is>
      </c>
      <c r="C1617" s="2">
        <v>45819</v>
      </c>
      <c r="D1617" s="2"/>
      <c r="E1617" t="inlineStr">
        <is>
          <t>ปกติ</t>
        </is>
      </c>
      <c r="F1617" s="3"/>
      <c r="G1617"/>
      <c r="H1617" t="inlineStr">
        <is>
          <t>Shorts</t>
        </is>
      </c>
      <c r="I1617" t="inlineStr">
        <is>
          <t>งานประจำวัน</t>
        </is>
      </c>
      <c r="J1617" t="inlineStr">
        <is>
          <t>Done</t>
        </is>
      </c>
      <c r="K1617"/>
      <c r="L1617" s="3"/>
      <c r="M1617" t="inlineStr">
        <is>
          <t>1</t>
        </is>
      </c>
      <c r="N1617" t="inlineStr">
        <is>
          <t>Apple</t>
        </is>
      </c>
      <c r="O1617"/>
    </row>
    <row r="1618" ht="12.75" customHeight="1">
      <c r="A1618" t="inlineStr">
        <is>
          <t xml:space="preserve">พาชม iOS 26 เวอร์ชันนักพัฒนา </t>
        </is>
      </c>
      <c r="B1618" t="inlineStr">
        <is>
          <t>Saktaphat Kordjan</t>
        </is>
      </c>
      <c r="C1618" s="2">
        <v>45819</v>
      </c>
      <c r="D1618" s="2">
        <v>45821</v>
      </c>
      <c r="E1618" t="inlineStr">
        <is>
          <t>ปกติ</t>
        </is>
      </c>
      <c r="F1618" s="3"/>
      <c r="G1618"/>
      <c r="H1618" t="inlineStr">
        <is>
          <t>YouTube</t>
        </is>
      </c>
      <c r="I1618" t="inlineStr">
        <is>
          <t>งานประจำวัน</t>
        </is>
      </c>
      <c r="J1618" t="inlineStr">
        <is>
          <t>Done</t>
        </is>
      </c>
      <c r="K1618" t="inlineStr">
        <is>
          <t xml:space="preserve">Liquid Glass
-พาชมไอคอนแอปใหม่ แผงควบคุม อนิเมชันใหม่
-การท่องเว็บบน Safari เต็มตามากขึ้น 
Lock Screen 
-ปรับแต่งรูปภาพ
-นาฬิกา
Battery 
Camera layout
-ปรับดีไซน์ใหม่ คลีนขึ้น
Gallery 
-ปรับใหม่ ไม่รกเท่าเดิม 
-ค้นหารูปภาพดีขึ้น
Communicate Apps
-การโทร
-iMessage
-Facetime 
Apple Intelligence
-Visual Intelligence 
-Live Translation 
Apple Music 
-แปลเนื้อเพลง
-บอกคำอ่าน
Apple Games
-พาชมหน้าแอปเกมใหม่
เพิ่มเติม 
-แบต 
-แคปจอ 
แป้นพิมพ์ 24 
กล้องมีแจ้งเตือนเลนส์สกปรก </t>
        </is>
      </c>
      <c r="L1618" s="3"/>
      <c r="M1618" t="inlineStr">
        <is>
          <t>1</t>
        </is>
      </c>
      <c r="N1618" t="inlineStr">
        <is>
          <t>Apple</t>
        </is>
      </c>
      <c r="O1618"/>
    </row>
    <row r="1619" ht="12.75" customHeight="1">
      <c r="A1619" t="inlineStr">
        <is>
          <t>พูดคุยหลังจบงาน WWDC25 ว้าวไม่ว้าว?</t>
        </is>
      </c>
      <c r="B1619" t="inlineStr">
        <is>
          <t>Nattida Suriyodara,Thitirath Kinaret</t>
        </is>
      </c>
      <c r="C1619" s="2">
        <v>45819</v>
      </c>
      <c r="D1619" s="2"/>
      <c r="E1619" t="inlineStr">
        <is>
          <t>ด่วน!</t>
        </is>
      </c>
      <c r="F1619" s="3"/>
      <c r="G1619"/>
      <c r="H1619" t="inlineStr">
        <is>
          <t>YouTube</t>
        </is>
      </c>
      <c r="I1619" t="inlineStr">
        <is>
          <t>งานประจำวัน</t>
        </is>
      </c>
      <c r="J1619" t="inlineStr">
        <is>
          <t>Done</t>
        </is>
      </c>
      <c r="K1619" t="inlineStr">
        <is>
          <t>- นั่งคุยกับพี่เต็นท์
- กิ๊ฟถาม</t>
        </is>
      </c>
      <c r="L1619" s="3"/>
      <c r="M1619" t="inlineStr">
        <is>
          <t>1</t>
        </is>
      </c>
      <c r="N1619" t="inlineStr">
        <is>
          <t>Apple</t>
        </is>
      </c>
      <c r="O1619"/>
    </row>
    <row r="1620" ht="12.75" customHeight="1">
      <c r="A1620" t="inlineStr">
        <is>
          <t xml:space="preserve">MediaTek Dimensity 9500 มีข่าวลือว่าอาจเปิดตัวเร็วกว่า Snapdragon 8 Elite 2 </t>
        </is>
      </c>
      <c r="B1620" t="inlineStr">
        <is>
          <t>Saktaphat Kordjan</t>
        </is>
      </c>
      <c r="C1620" s="2">
        <v>45819</v>
      </c>
      <c r="D1620" s="2"/>
      <c r="E1620" t="inlineStr">
        <is>
          <t>ปกติ</t>
        </is>
      </c>
      <c r="F1620" s="3" t="str">
        <f>=HYPERLINK("https://www.gsmarena.com/heres_when_mediateks_dimensity_9500_is_rumored_to_arrive-news-68191.php", "https://www.gsmarena.com/heres_when_mediateks_dimensity_9500_is_rumored_to_arrive-news-68191.php")</f>
        <v>https://www.gsmarena.com/heres_when_mediateks_dimensity_9500_is_rumored_to_arrive-news-68191.php</v>
      </c>
      <c r="G1620"/>
      <c r="H1620" t="inlineStr">
        <is>
          <t>Website</t>
        </is>
      </c>
      <c r="I1620" t="inlineStr">
        <is>
          <t>งานประจำวัน</t>
        </is>
      </c>
      <c r="J1620" t="inlineStr">
        <is>
          <t>Done</t>
        </is>
      </c>
      <c r="K1620"/>
      <c r="L1620" s="3"/>
      <c r="M1620" t="inlineStr">
        <is>
          <t>1</t>
        </is>
      </c>
      <c r="N1620" t="inlineStr">
        <is>
          <t>Tech</t>
        </is>
      </c>
      <c r="O1620"/>
    </row>
    <row r="1621" ht="12.75" customHeight="1">
      <c r="A1621" t="inlineStr">
        <is>
          <t>iPad ทุกรุ่นที่รองรับ iPadOS 26 ใช้งาน Stage Manager ได้</t>
        </is>
      </c>
      <c r="B1621" t="inlineStr">
        <is>
          <t>Thitirath Kinaret</t>
        </is>
      </c>
      <c r="C1621" s="2">
        <v>45819</v>
      </c>
      <c r="D1621" s="2">
        <v>45819</v>
      </c>
      <c r="E1621" t="inlineStr">
        <is>
          <t>ปกติ</t>
        </is>
      </c>
      <c r="F1621" s="3"/>
      <c r="G1621"/>
      <c r="H1621" t="inlineStr">
        <is>
          <t>Website</t>
        </is>
      </c>
      <c r="I1621" t="inlineStr">
        <is>
          <t>งานประจำวัน</t>
        </is>
      </c>
      <c r="J1621" t="inlineStr">
        <is>
          <t>Done</t>
        </is>
      </c>
      <c r="K1621"/>
      <c r="L1621" s="3" t="str">
        <f>=HYPERLINK("https://www.iphonemod.net/ipad-with-ipados-26-support-stage-manager.html", "https://www.iphonemod.net/ipad-with-ipados-26-support-stage-manager.html")</f>
        <v>https://www.iphonemod.net/ipad-with-ipados-26-support-stage-manager.html</v>
      </c>
      <c r="M1621" t="inlineStr">
        <is>
          <t>1</t>
        </is>
      </c>
      <c r="N1621" t="inlineStr">
        <is>
          <t>Apple</t>
        </is>
      </c>
      <c r="O1621"/>
    </row>
    <row r="1622" ht="12.75" customHeight="1">
      <c r="A1622" t="inlineStr">
        <is>
          <t>Samsung อาจเป็นผู้ผลิตชิปให้บริษัทลูกของ Qualcomm</t>
        </is>
      </c>
      <c r="B1622" t="inlineStr">
        <is>
          <t>Saktaphat Kordjan</t>
        </is>
      </c>
      <c r="C1622" s="2">
        <v>45819</v>
      </c>
      <c r="D1622" s="2"/>
      <c r="E1622" t="inlineStr">
        <is>
          <t>ปกติ</t>
        </is>
      </c>
      <c r="F1622" s="3" t="str">
        <f>=HYPERLINK("https://www.sammobile.com/news/samsung-foundry-make-automotive-car-chips-qualcomm-autotalks/", "https://www.sammobile.com/news/samsung-foundry-make-automotive-car-chips-qualcomm-autotalks/")</f>
        <v>https://www.sammobile.com/news/samsung-foundry-make-automotive-car-chips-qualcomm-autotalks/</v>
      </c>
      <c r="G1622"/>
      <c r="H1622" t="inlineStr">
        <is>
          <t>Website</t>
        </is>
      </c>
      <c r="I1622" t="inlineStr">
        <is>
          <t>งานประจำวัน</t>
        </is>
      </c>
      <c r="J1622" t="inlineStr">
        <is>
          <t>Done</t>
        </is>
      </c>
      <c r="K1622"/>
      <c r="L1622" s="3"/>
      <c r="M1622" t="inlineStr">
        <is>
          <t>1</t>
        </is>
      </c>
      <c r="N1622" t="inlineStr">
        <is>
          <t>Tech</t>
        </is>
      </c>
      <c r="O1622"/>
    </row>
    <row r="1623" ht="12.75" customHeight="1">
      <c r="A1623" t="inlineStr">
        <is>
          <t>ดีไซน์ iPadOS 26</t>
        </is>
      </c>
      <c r="B1623" t="inlineStr">
        <is>
          <t>Sasithakan Sritonthip</t>
        </is>
      </c>
      <c r="C1623" s="2">
        <v>45819</v>
      </c>
      <c r="D1623" s="2"/>
      <c r="E1623" t="inlineStr">
        <is>
          <t>ด่วน!</t>
        </is>
      </c>
      <c r="F1623" s="3"/>
      <c r="G1623"/>
      <c r="H1623" t="inlineStr">
        <is>
          <t>Website</t>
        </is>
      </c>
      <c r="I1623" t="inlineStr">
        <is>
          <t>งานประจำวัน</t>
        </is>
      </c>
      <c r="J1623" t="inlineStr">
        <is>
          <t>Done</t>
        </is>
      </c>
      <c r="K1623"/>
      <c r="L1623" s="3"/>
      <c r="M1623" t="inlineStr">
        <is>
          <t>1</t>
        </is>
      </c>
      <c r="N1623" t="inlineStr">
        <is>
          <t>Apple</t>
        </is>
      </c>
      <c r="O1623"/>
    </row>
    <row r="1624" ht="12.75" customHeight="1">
      <c r="A1624" t="inlineStr">
        <is>
          <t>ราคาไทย Nintendo Switch 2 มาแล้ว!</t>
        </is>
      </c>
      <c r="B1624" t="inlineStr">
        <is>
          <t>Saktaphat Kordjan</t>
        </is>
      </c>
      <c r="C1624" s="2">
        <v>45819</v>
      </c>
      <c r="D1624" s="2"/>
      <c r="E1624" t="inlineStr">
        <is>
          <t>ปกติ</t>
        </is>
      </c>
      <c r="F1624" s="3"/>
      <c r="G1624"/>
      <c r="H1624" t="inlineStr">
        <is>
          <t>Website</t>
        </is>
      </c>
      <c r="I1624" t="inlineStr">
        <is>
          <t>งานประจำวัน</t>
        </is>
      </c>
      <c r="J1624" t="inlineStr">
        <is>
          <t>Done</t>
        </is>
      </c>
      <c r="K1624"/>
      <c r="L1624" s="3"/>
      <c r="M1624" t="inlineStr">
        <is>
          <t>1</t>
        </is>
      </c>
      <c r="N1624" t="inlineStr">
        <is>
          <t>Tech</t>
        </is>
      </c>
      <c r="O1624"/>
    </row>
    <row r="1625" ht="12.75" customHeight="1">
      <c r="A1625" t="inlineStr">
        <is>
          <t>พาชมดีไซน์ Liquid Glass บน  iOS 26 (เวอร์ชันนักพัฒนา)</t>
        </is>
      </c>
      <c r="B1625" t="inlineStr">
        <is>
          <t>Saktaphat Kordjan</t>
        </is>
      </c>
      <c r="C1625" s="2">
        <v>45819</v>
      </c>
      <c r="D1625" s="2"/>
      <c r="E1625" t="inlineStr">
        <is>
          <t>ปกติ</t>
        </is>
      </c>
      <c r="F1625" s="3"/>
      <c r="G1625"/>
      <c r="H1625" t="inlineStr">
        <is>
          <t>Website</t>
        </is>
      </c>
      <c r="I1625" t="inlineStr">
        <is>
          <t>งานประจำวัน</t>
        </is>
      </c>
      <c r="J1625" t="inlineStr">
        <is>
          <t>Done</t>
        </is>
      </c>
      <c r="K1625"/>
      <c r="L1625" s="3"/>
      <c r="M1625" t="inlineStr">
        <is>
          <t>1</t>
        </is>
      </c>
      <c r="N1625" t="inlineStr">
        <is>
          <t>Apple</t>
        </is>
      </c>
      <c r="O1625"/>
    </row>
    <row r="1626" ht="12.75" customHeight="1">
      <c r="A1626" t="inlineStr">
        <is>
          <t>iPadOS 26 เพิ่ม Multitasking ใหม่ มาแทน Split View, Slide Over เดิม
</t>
        </is>
      </c>
      <c r="B1626" t="inlineStr">
        <is>
          <t>Thitirath Kinaret</t>
        </is>
      </c>
      <c r="C1626" s="2">
        <v>45819</v>
      </c>
      <c r="D1626" s="2">
        <v>45819</v>
      </c>
      <c r="E1626" t="inlineStr">
        <is>
          <t>ปกติ</t>
        </is>
      </c>
      <c r="F1626" s="3"/>
      <c r="G1626"/>
      <c r="H1626" t="inlineStr">
        <is>
          <t>Website</t>
        </is>
      </c>
      <c r="I1626" t="inlineStr">
        <is>
          <t>งานประจำวัน</t>
        </is>
      </c>
      <c r="J1626" t="inlineStr">
        <is>
          <t>Done</t>
        </is>
      </c>
      <c r="K1626"/>
      <c r="L1626" s="3" t="str">
        <f>=HYPERLINK("https://www.iphonemod.net/ipados-26-multitasking-replace-split-view-slide-over.html", "https://www.iphonemod.net/ipados-26-multitasking-replace-split-view-slide-over.html")</f>
        <v>https://www.iphonemod.net/ipados-26-multitasking-replace-split-view-slide-over.html</v>
      </c>
      <c r="M1626" t="inlineStr">
        <is>
          <t>1</t>
        </is>
      </c>
      <c r="N1626" t="inlineStr">
        <is>
          <t>Apple</t>
        </is>
      </c>
      <c r="O1626"/>
    </row>
    <row r="1627" ht="12.75" customHeight="1">
      <c r="A1627" t="inlineStr">
        <is>
          <t>iOS 26 เพิ่มแป้นพิมพ์ภาษาไทย “24 ปุ่ม”
</t>
        </is>
      </c>
      <c r="B1627" t="inlineStr">
        <is>
          <t>Thitirath Kinaret</t>
        </is>
      </c>
      <c r="C1627" s="2">
        <v>45819</v>
      </c>
      <c r="D1627" s="2">
        <v>45819</v>
      </c>
      <c r="E1627" t="inlineStr">
        <is>
          <t>ปกติ</t>
        </is>
      </c>
      <c r="F1627" s="3"/>
      <c r="G1627"/>
      <c r="H1627" t="inlineStr">
        <is>
          <t>Website</t>
        </is>
      </c>
      <c r="I1627" t="inlineStr">
        <is>
          <t>งานประจำวัน</t>
        </is>
      </c>
      <c r="J1627" t="inlineStr">
        <is>
          <t>Done</t>
        </is>
      </c>
      <c r="K1627"/>
      <c r="L1627" s="3" t="str">
        <f>=HYPERLINK("https://www.iphonemod.net/ios-26-added-new-thai-keyboard.html", "https://www.iphonemod.net/ios-26-added-new-thai-keyboard.html")</f>
        <v>https://www.iphonemod.net/ios-26-added-new-thai-keyboard.html</v>
      </c>
      <c r="M1627" t="inlineStr">
        <is>
          <t>1</t>
        </is>
      </c>
      <c r="N1627" t="inlineStr">
        <is>
          <t>Apple</t>
        </is>
      </c>
      <c r="O1627"/>
    </row>
    <row r="1628" ht="12.75" customHeight="1">
      <c r="A1628" t="inlineStr">
        <is>
          <t>แนะนำฟีเจอร์ iPadOS 26 ver. developer beta</t>
        </is>
      </c>
      <c r="B1628" t="inlineStr">
        <is>
          <t>Nattida Suriyodara</t>
        </is>
      </c>
      <c r="C1628" s="2">
        <v>45819</v>
      </c>
      <c r="D1628" s="2"/>
      <c r="E1628" t="inlineStr">
        <is>
          <t>ปกติ</t>
        </is>
      </c>
      <c r="F1628" s="3"/>
      <c r="G1628" t="inlineStr">
        <is>
          <t>ภาพถ่ายหน้าจอ 2568-06-12 เวลา 16.21.45.png,ภาพถ่ายหน้าจอ 2568-06-12 เวลา 16.21.30.png,ภาพถ่ายหน้าจอ 2568-06-12 เวลา 16.21.53.png,ภาพถ่ายหน้าจอ 2568-06-12 เวลา 16.21.35.png</t>
        </is>
      </c>
      <c r="H1628" t="inlineStr">
        <is>
          <t>YouTube</t>
        </is>
      </c>
      <c r="I1628" t="inlineStr">
        <is>
          <t>งานประจำวัน</t>
        </is>
      </c>
      <c r="J1628" t="inlineStr">
        <is>
          <t>Done</t>
        </is>
      </c>
      <c r="K1628"/>
      <c r="L1628" s="3"/>
      <c r="M1628" t="inlineStr">
        <is>
          <t>1</t>
        </is>
      </c>
      <c r="N1628" t="inlineStr">
        <is>
          <t>Apple</t>
        </is>
      </c>
      <c r="O1628"/>
    </row>
    <row r="1629" ht="12.75" customHeight="1">
      <c r="A1629" t="inlineStr">
        <is>
          <t xml:space="preserve">MILLENNIUM AUTO จัดใหญ่! รถผู้บริหารป้ายแดงหลายรุ่น ราคาพิเศษ มากกว่า 100 คัน ที่งาน ‘MILLENNIUM AUTO JOY TOGETHER’ </t>
        </is>
      </c>
      <c r="B1629" t="inlineStr">
        <is>
          <t>Nuttanon</t>
        </is>
      </c>
      <c r="C1629" s="2">
        <v>45819</v>
      </c>
      <c r="D1629" s="2">
        <v>45819</v>
      </c>
      <c r="E1629" t="inlineStr">
        <is>
          <t>ปกติ</t>
        </is>
      </c>
      <c r="F1629" s="3"/>
      <c r="G1629"/>
      <c r="H1629" t="inlineStr">
        <is>
          <t>Website</t>
        </is>
      </c>
      <c r="I1629" t="inlineStr">
        <is>
          <t>งานประจำวัน</t>
        </is>
      </c>
      <c r="J1629" t="inlineStr">
        <is>
          <t>Done</t>
        </is>
      </c>
      <c r="K1629"/>
      <c r="L1629" s="3" t="str">
        <f>=HYPERLINK("https://ev.iphonemod.net/millennium-auto-joy-together/", "https://ev.iphonemod.net/millennium-auto-joy-together/")</f>
        <v>https://ev.iphonemod.net/millennium-auto-joy-together/</v>
      </c>
      <c r="M1629" t="inlineStr">
        <is>
          <t>1</t>
        </is>
      </c>
      <c r="N1629" t="inlineStr">
        <is>
          <t>PR, EV</t>
        </is>
      </c>
      <c r="O1629"/>
    </row>
    <row r="1630" ht="12.75" customHeight="1">
      <c r="A1630" t="inlineStr">
        <is>
          <t>Xiaomi SU7 Ultra รุ่นผลิตจริง ทำลายสถิติใหม่สนาม Nürburgring ขึ้นเป็นรถยนต์ไฟฟ้า 4 ประตูที่เร็วที่สุดในประวัติศาสตร์สนาม</t>
        </is>
      </c>
      <c r="B1630" t="inlineStr">
        <is>
          <t>Nuttanon,Sakura</t>
        </is>
      </c>
      <c r="C1630" s="2">
        <v>45819</v>
      </c>
      <c r="D1630" s="2">
        <v>45819</v>
      </c>
      <c r="E1630" t="inlineStr">
        <is>
          <t>ปกติ</t>
        </is>
      </c>
      <c r="F1630" s="3"/>
      <c r="G1630"/>
      <c r="H1630" t="inlineStr">
        <is>
          <t>Website, Pic Posts / Album</t>
        </is>
      </c>
      <c r="I1630" t="inlineStr">
        <is>
          <t>งานประจำวัน</t>
        </is>
      </c>
      <c r="J1630" t="inlineStr">
        <is>
          <t>Done</t>
        </is>
      </c>
      <c r="K1630"/>
      <c r="L1630" s="3" t="str">
        <f>=HYPERLINK("https://ev.iphonemod.net/xiaomi-su7-ultra-production-car-new-record-nurburgring-nordschleife/", "https://ev.iphonemod.net/xiaomi-su7-ultra-production-car-new-record-nurburgring-nordschleife/")</f>
        <v>https://ev.iphonemod.net/xiaomi-su7-ultra-production-car-new-record-nurburgring-nordschleife/</v>
      </c>
      <c r="M1630" t="inlineStr">
        <is>
          <t>1</t>
        </is>
      </c>
      <c r="N1630" t="inlineStr">
        <is>
          <t>EV</t>
        </is>
      </c>
      <c r="O1630"/>
    </row>
    <row r="1631" ht="12.75" customHeight="1">
      <c r="A1631" t="inlineStr">
        <is>
          <t>Toyota เปิดตัว bZ5 รถ SUV ไฟฟ้าทรงคูเป้ ใช้แบตเตอรี่ Blade จาก BYD ราคาเริ่มต้นเพียงประมาณ 648,000 บาทในจีน</t>
        </is>
      </c>
      <c r="B1631" t="inlineStr">
        <is>
          <t>Nuttanon</t>
        </is>
      </c>
      <c r="C1631" s="2">
        <v>45819</v>
      </c>
      <c r="D1631" s="2">
        <v>45819</v>
      </c>
      <c r="E1631" t="inlineStr">
        <is>
          <t>ปกติ</t>
        </is>
      </c>
      <c r="F1631" s="3"/>
      <c r="G1631"/>
      <c r="H1631" t="inlineStr">
        <is>
          <t>Website</t>
        </is>
      </c>
      <c r="I1631" t="inlineStr">
        <is>
          <t>งานประจำวัน</t>
        </is>
      </c>
      <c r="J1631" t="inlineStr">
        <is>
          <t>Done</t>
        </is>
      </c>
      <c r="K1631"/>
      <c r="L1631" s="3" t="str">
        <f>=HYPERLINK("https://ev.iphonemod.net/toyota-bz5-official-launched-in-china/", "https://ev.iphonemod.net/toyota-bz5-official-launched-in-china/")</f>
        <v>https://ev.iphonemod.net/toyota-bz5-official-launched-in-china/</v>
      </c>
      <c r="M1631" t="inlineStr">
        <is>
          <t>1</t>
        </is>
      </c>
      <c r="N1631" t="inlineStr">
        <is>
          <t>EV</t>
        </is>
      </c>
      <c r="O1631"/>
    </row>
    <row r="1632" ht="12.75" customHeight="1">
      <c r="A1632" t="inlineStr">
        <is>
          <t>Porsche Cayenne EV คันต้นแบบ ลงแข่งขัน British Hill Climb Championship ปี 2025 ทำลายสถิติเร็วสุดใน SUV ที่ลงแข่ง!</t>
        </is>
      </c>
      <c r="B1632" t="inlineStr">
        <is>
          <t>Nuttanon,Sakura</t>
        </is>
      </c>
      <c r="C1632" s="2">
        <v>45819</v>
      </c>
      <c r="D1632" s="2">
        <v>45819</v>
      </c>
      <c r="E1632" t="inlineStr">
        <is>
          <t>ปกติ</t>
        </is>
      </c>
      <c r="F1632" s="3"/>
      <c r="G1632"/>
      <c r="H1632" t="inlineStr">
        <is>
          <t>Website, Pic Posts / Album</t>
        </is>
      </c>
      <c r="I1632" t="inlineStr">
        <is>
          <t>งานประจำวัน</t>
        </is>
      </c>
      <c r="J1632" t="inlineStr">
        <is>
          <t>Done</t>
        </is>
      </c>
      <c r="K1632"/>
      <c r="L1632" s="3" t="str">
        <f>=HYPERLINK("https://ev.iphonemod.net/porsche-cayenne-ev-hill-climb-2025/", "https://ev.iphonemod.net/porsche-cayenne-ev-hill-climb-2025/")</f>
        <v>https://ev.iphonemod.net/porsche-cayenne-ev-hill-climb-2025/</v>
      </c>
      <c r="M1632" t="inlineStr">
        <is>
          <t>1</t>
        </is>
      </c>
      <c r="N1632" t="inlineStr">
        <is>
          <t>EV</t>
        </is>
      </c>
      <c r="O1632"/>
    </row>
    <row r="1633" ht="12.75" customHeight="1">
      <c r="A1633" t="inlineStr">
        <is>
          <t>BYD เปิดราคาเดือด Seal 06 EV เพียง 559,000 บาท ชนวนสงครามราคารถยนต์ไฟฟ้ารอบใหม่ในจีน?</t>
        </is>
      </c>
      <c r="B1633" t="inlineStr">
        <is>
          <t>Nuttanon</t>
        </is>
      </c>
      <c r="C1633" s="2">
        <v>45819</v>
      </c>
      <c r="D1633" s="2">
        <v>45819</v>
      </c>
      <c r="E1633" t="inlineStr">
        <is>
          <t>ปกติ</t>
        </is>
      </c>
      <c r="F1633" s="3"/>
      <c r="G1633"/>
      <c r="H1633" t="inlineStr">
        <is>
          <t>Website</t>
        </is>
      </c>
      <c r="I1633" t="inlineStr">
        <is>
          <t>งานประจำวัน</t>
        </is>
      </c>
      <c r="J1633" t="inlineStr">
        <is>
          <t>Done</t>
        </is>
      </c>
      <c r="K1633"/>
      <c r="L1633" s="3" t="str">
        <f>=HYPERLINK("https://ev.iphonemod.net/byd-seal-06-ev-new-price-war-in-china/", "https://ev.iphonemod.net/byd-seal-06-ev-new-price-war-in-china/")</f>
        <v>https://ev.iphonemod.net/byd-seal-06-ev-new-price-war-in-china/</v>
      </c>
      <c r="M1633" t="inlineStr">
        <is>
          <t>1</t>
        </is>
      </c>
      <c r="N1633" t="inlineStr">
        <is>
          <t>EV</t>
        </is>
      </c>
      <c r="O1633"/>
    </row>
    <row r="1634" ht="12.75" customHeight="1">
      <c r="A1634" t="inlineStr">
        <is>
          <t>ปี 2025 Tesla ขับเองได้แล้วจริงหรือ? ทดสอบ FSD Supervised เวอร์ชันใหม่!</t>
        </is>
      </c>
      <c r="B1634" t="inlineStr">
        <is>
          <t>Nuttanon</t>
        </is>
      </c>
      <c r="C1634" s="2">
        <v>45819</v>
      </c>
      <c r="D1634" s="2">
        <v>45819</v>
      </c>
      <c r="E1634" t="inlineStr">
        <is>
          <t>ปกติ</t>
        </is>
      </c>
      <c r="F1634" s="3"/>
      <c r="G1634"/>
      <c r="H1634" t="inlineStr">
        <is>
          <t>Website</t>
        </is>
      </c>
      <c r="I1634" t="inlineStr">
        <is>
          <t>งานประจำวัน</t>
        </is>
      </c>
      <c r="J1634" t="inlineStr">
        <is>
          <t>Done</t>
        </is>
      </c>
      <c r="K1634"/>
      <c r="L1634" s="3" t="str">
        <f>=HYPERLINK("https://ev.iphonemod.net/tesla-fsd-supervised-testing-in-us-2025/", "https://ev.iphonemod.net/tesla-fsd-supervised-testing-in-us-2025/")</f>
        <v>https://ev.iphonemod.net/tesla-fsd-supervised-testing-in-us-2025/</v>
      </c>
      <c r="M1634" t="inlineStr">
        <is>
          <t>1</t>
        </is>
      </c>
      <c r="N1634" t="inlineStr">
        <is>
          <t>EV</t>
        </is>
      </c>
      <c r="O1634"/>
    </row>
    <row r="1635" ht="12.75" customHeight="1">
      <c r="A1635" t="inlineStr">
        <is>
          <t>2026 Mercedes-Benz GLC EV ไฟฟ้า 100% ช่วงล่างถุงลม แบต 800V วิ่งไกล 650 กม. (WLTP)</t>
        </is>
      </c>
      <c r="B1635" t="inlineStr">
        <is>
          <t>Nuttanon</t>
        </is>
      </c>
      <c r="C1635" s="2">
        <v>45819</v>
      </c>
      <c r="D1635" s="2">
        <v>45819</v>
      </c>
      <c r="E1635" t="inlineStr">
        <is>
          <t>ปกติ</t>
        </is>
      </c>
      <c r="F1635" s="3"/>
      <c r="G1635"/>
      <c r="H1635" t="inlineStr">
        <is>
          <t>Website</t>
        </is>
      </c>
      <c r="I1635" t="inlineStr">
        <is>
          <t>งานประจำวัน</t>
        </is>
      </c>
      <c r="J1635" t="inlineStr">
        <is>
          <t>Done</t>
        </is>
      </c>
      <c r="K1635"/>
      <c r="L1635" s="3" t="str">
        <f>=HYPERLINK("https://ev.iphonemod.net/2026-mercedes-benz-glc-ev-prototype/", "https://ev.iphonemod.net/2026-mercedes-benz-glc-ev-prototype/")</f>
        <v>https://ev.iphonemod.net/2026-mercedes-benz-glc-ev-prototype/</v>
      </c>
      <c r="M1635" t="inlineStr">
        <is>
          <t>1</t>
        </is>
      </c>
      <c r="N1635" t="inlineStr">
        <is>
          <t>EV</t>
        </is>
      </c>
      <c r="O1635"/>
    </row>
    <row r="1636" ht="12.75" customHeight="1">
      <c r="A1636" t="inlineStr">
        <is>
          <t>Xiaomi SU7 Ultra รุ่นผลิตจริง ทำลายสถิติใหม่สนาม Nürburgring ขึ้นเป็นรถยนต์ไฟฟ้า</t>
        </is>
      </c>
      <c r="B1636" t="inlineStr">
        <is>
          <t>Nuttanon</t>
        </is>
      </c>
      <c r="C1636" s="2">
        <v>45819</v>
      </c>
      <c r="D1636" s="2">
        <v>45819</v>
      </c>
      <c r="E1636" t="inlineStr">
        <is>
          <t>ปกติ</t>
        </is>
      </c>
      <c r="F1636" s="3"/>
      <c r="G1636"/>
      <c r="H1636" t="inlineStr">
        <is>
          <t>Shorts</t>
        </is>
      </c>
      <c r="I1636" t="inlineStr">
        <is>
          <t>งานประจำวัน</t>
        </is>
      </c>
      <c r="J1636" t="inlineStr">
        <is>
          <t>Done</t>
        </is>
      </c>
      <c r="K1636"/>
      <c r="L1636" s="3" t="str">
        <f>=HYPERLINK("https://www.facebook.com/reel/2112754835902214", "https://www.facebook.com/reel/2112754835902214")</f>
        <v>https://www.facebook.com/reel/2112754835902214</v>
      </c>
      <c r="M1636" t="inlineStr">
        <is>
          <t>1</t>
        </is>
      </c>
      <c r="N1636" t="inlineStr">
        <is>
          <t>EV</t>
        </is>
      </c>
      <c r="O1636"/>
    </row>
    <row r="1637" ht="12.75" customHeight="1">
      <c r="A1637" t="inlineStr">
        <is>
          <t xml:space="preserve">เปิดตัว Xpeng G7 ในจีนอย่างเป็นทางการ SUV รุ่นใหม่ </t>
        </is>
      </c>
      <c r="B1637" t="inlineStr">
        <is>
          <t>Sakura</t>
        </is>
      </c>
      <c r="C1637" s="2">
        <v>45819</v>
      </c>
      <c r="D1637" s="2">
        <v>45819</v>
      </c>
      <c r="E1637" t="inlineStr">
        <is>
          <t>ด่วน!</t>
        </is>
      </c>
      <c r="F1637" s="3" t="str">
        <f>=HYPERLINK("https://www.facebook.com/iPhonemod/posts/pfbid0cdwejukbUGNgVtNy64b5MCqth4vFjXedVGiFdg5HxTL7izEQxEGeHkyjWPvYHKr5l", "https://www.facebook.com/iPhonemod/posts/pfbid0cdwejukbUGNgVtNy64b5MCqth4vFjXedVGiFdg5HxTL7izEQxEGeHkyjWPvYHKr5l")</f>
        <v>https://www.facebook.com/iPhonemod/posts/pfbid0cdwejukbUGNgVtNy64b5MCqth4vFjXedVGiFdg5HxTL7izEQxEGeHkyjWPvYHKr5l</v>
      </c>
      <c r="G1637"/>
      <c r="H1637" t="inlineStr">
        <is>
          <t>Pic Posts / Album, Website</t>
        </is>
      </c>
      <c r="I1637" t="inlineStr">
        <is>
          <t>งานประจำวัน</t>
        </is>
      </c>
      <c r="J1637" t="inlineStr">
        <is>
          <t>Done</t>
        </is>
      </c>
      <c r="K1637"/>
      <c r="L1637" s="3" t="str">
        <f>=HYPERLINK("https://ev.iphonemod.net/xpeng-g7-huawei-ar-hud-launched-china/", "https://ev.iphonemod.net/xpeng-g7-huawei-ar-hud-launched-china/")</f>
        <v>https://ev.iphonemod.net/xpeng-g7-huawei-ar-hud-launched-china/</v>
      </c>
      <c r="M1637" t="inlineStr">
        <is>
          <t>1</t>
        </is>
      </c>
      <c r="N1637" t="inlineStr">
        <is>
          <t>EV</t>
        </is>
      </c>
      <c r="O1637"/>
    </row>
    <row r="1638" ht="12.75" customHeight="1">
      <c r="A1638" t="inlineStr">
        <is>
          <t>Tesla เริ่มทดสอบ Robotaxi ไร้คนขับคันแรกแล้วบนถนนจริงในออสติน รัฐเท็กซัส เริ่มให้บริการเร็ว ๆ นี้</t>
        </is>
      </c>
      <c r="B1638" t="inlineStr">
        <is>
          <t>Sakura</t>
        </is>
      </c>
      <c r="C1638" s="2">
        <v>45819</v>
      </c>
      <c r="D1638" s="2">
        <v>45819</v>
      </c>
      <c r="E1638" t="inlineStr">
        <is>
          <t>ปกติ</t>
        </is>
      </c>
      <c r="F1638" s="3" t="str">
        <f>=HYPERLINK("https://ev.iphonemod.net/robotaxi-start-tesing-austin/", "https://ev.iphonemod.net/robotaxi-start-tesing-austin/")</f>
        <v>https://ev.iphonemod.net/robotaxi-start-tesing-austin/</v>
      </c>
      <c r="G1638"/>
      <c r="H1638" t="inlineStr">
        <is>
          <t>Pic Posts / Album, Website</t>
        </is>
      </c>
      <c r="I1638" t="inlineStr">
        <is>
          <t>งานประจำวัน</t>
        </is>
      </c>
      <c r="J1638" t="inlineStr">
        <is>
          <t>Done</t>
        </is>
      </c>
      <c r="K1638"/>
      <c r="L1638" s="3" t="str">
        <f>=HYPERLINK("https://www.facebook.com/iMoDDrive/posts/pfbid02kUaqKdTJgVrayQ8cVFcR3NdVM8dqyqvzWY3uhnZMGtSAQWKv4CSTnbQewfmZLQfRl", "https://www.facebook.com/iMoDDrive/posts/pfbid02kUaqKdTJgVrayQ8cVFcR3NdVM8dqyqvzWY3uhnZMGtSAQWKv4CSTnbQewfmZLQfRl")</f>
        <v>https://www.facebook.com/iMoDDrive/posts/pfbid02kUaqKdTJgVrayQ8cVFcR3NdVM8dqyqvzWY3uhnZMGtSAQWKv4CSTnbQewfmZLQfRl</v>
      </c>
      <c r="M1638" t="inlineStr">
        <is>
          <t>1</t>
        </is>
      </c>
      <c r="N1638" t="inlineStr">
        <is>
          <t>EV</t>
        </is>
      </c>
      <c r="O1638"/>
    </row>
    <row r="1639" ht="12.75" customHeight="1">
      <c r="A1639" t="inlineStr">
        <is>
          <t>ยอดขาย Tesla ในจีนร่วงหนัก ในขณะที่ตลาดรถยนต์ไฟฟ้าในจีนโดยรวมกำลังเติบโต</t>
        </is>
      </c>
      <c r="B1639" t="inlineStr">
        <is>
          <t>Sakura</t>
        </is>
      </c>
      <c r="C1639" s="2">
        <v>45819</v>
      </c>
      <c r="D1639" s="2">
        <v>45819</v>
      </c>
      <c r="E1639" t="inlineStr">
        <is>
          <t>ปกติ</t>
        </is>
      </c>
      <c r="F1639" s="3"/>
      <c r="G1639"/>
      <c r="H1639" t="inlineStr">
        <is>
          <t>Website</t>
        </is>
      </c>
      <c r="I1639" t="inlineStr">
        <is>
          <t>งานประจำวัน</t>
        </is>
      </c>
      <c r="J1639" t="inlineStr">
        <is>
          <t>Done</t>
        </is>
      </c>
      <c r="K1639"/>
      <c r="L1639" s="3" t="str">
        <f>=HYPERLINK("https://ev.iphonemod.net/tesla-sales-drop-in-china-price-war/", "https://ev.iphonemod.net/tesla-sales-drop-in-china-price-war/")</f>
        <v>https://ev.iphonemod.net/tesla-sales-drop-in-china-price-war/</v>
      </c>
      <c r="M1639" t="inlineStr">
        <is>
          <t>1</t>
        </is>
      </c>
      <c r="N1639" t="inlineStr">
        <is>
          <t>EV</t>
        </is>
      </c>
      <c r="O1639"/>
    </row>
    <row r="1640" ht="12.75" customHeight="1">
      <c r="A1640" t="inlineStr">
        <is>
          <t>BYD Xia เตรียมส่งออกนอกประเทศในชื่อ BYD M9 ล็อตแรกเตรียมส่งเม็กซิโกประเทศแรก</t>
        </is>
      </c>
      <c r="B1640" t="inlineStr">
        <is>
          <t>Sakura</t>
        </is>
      </c>
      <c r="C1640" s="2">
        <v>45819</v>
      </c>
      <c r="D1640" s="2">
        <v>45819</v>
      </c>
      <c r="E1640" t="inlineStr">
        <is>
          <t>ปกติ</t>
        </is>
      </c>
      <c r="F1640" s="3"/>
      <c r="G1640"/>
      <c r="H1640" t="inlineStr">
        <is>
          <t>Website</t>
        </is>
      </c>
      <c r="I1640" t="inlineStr">
        <is>
          <t>งานประจำวัน</t>
        </is>
      </c>
      <c r="J1640" t="inlineStr">
        <is>
          <t>Done</t>
        </is>
      </c>
      <c r="K1640"/>
      <c r="L1640" s="3" t="str">
        <f>=HYPERLINK("https://ev.iphonemod.net/byd-xia-export-to-byd-m9-for-global-market/", "https://ev.iphonemod.net/byd-xia-export-to-byd-m9-for-global-market/")</f>
        <v>https://ev.iphonemod.net/byd-xia-export-to-byd-m9-for-global-market/</v>
      </c>
      <c r="M1640" t="inlineStr">
        <is>
          <t>1</t>
        </is>
      </c>
      <c r="N1640" t="inlineStr">
        <is>
          <t>EV</t>
        </is>
      </c>
      <c r="O1640"/>
    </row>
    <row r="1641" ht="12.75" customHeight="1">
      <c r="A1641" t="inlineStr">
        <is>
          <t xml:space="preserve">สรุปเปิดตัวiPadOS 26 </t>
        </is>
      </c>
      <c r="B1641" t="inlineStr">
        <is>
          <t>Nattida Suriyodara</t>
        </is>
      </c>
      <c r="C1641" s="2">
        <v>45818</v>
      </c>
      <c r="D1641" s="2"/>
      <c r="E1641" t="inlineStr">
        <is>
          <t xml:space="preserve">ด่วนมาก! </t>
        </is>
      </c>
      <c r="F1641" s="3" t="str">
        <f>=HYPERLINK("https://www.iphonemod.net/ipad-os-26-announce.html", "https://www.iphonemod.net/ipad-os-26-announce.html")</f>
        <v>https://www.iphonemod.net/ipad-os-26-announce.html</v>
      </c>
      <c r="G1641"/>
      <c r="H1641" t="inlineStr">
        <is>
          <t>Website</t>
        </is>
      </c>
      <c r="I1641" t="inlineStr">
        <is>
          <t>งานประจำวัน</t>
        </is>
      </c>
      <c r="J1641" t="inlineStr">
        <is>
          <t>Done</t>
        </is>
      </c>
      <c r="K1641"/>
      <c r="L1641" s="3"/>
      <c r="M1641" t="inlineStr">
        <is>
          <t>1</t>
        </is>
      </c>
      <c r="N1641" t="inlineStr">
        <is>
          <t>Apple</t>
        </is>
      </c>
      <c r="O1641"/>
    </row>
    <row r="1642" ht="12.75" customHeight="1">
      <c r="A1642" t="inlineStr">
        <is>
          <t>สรุปเปิดตัว iPadOS 26 มีอะไรบ้าง</t>
        </is>
      </c>
      <c r="B1642" t="inlineStr">
        <is>
          <t>Nattida Suriyodara</t>
        </is>
      </c>
      <c r="C1642" s="2">
        <v>45818</v>
      </c>
      <c r="D1642" s="2"/>
      <c r="E1642" t="inlineStr">
        <is>
          <t xml:space="preserve">ด่วนมาก! </t>
        </is>
      </c>
      <c r="F1642" s="3" t="str">
        <f>=HYPERLINK("https://www.iphonemod.net/ipad-os-26-announce.html", "https://www.iphonemod.net/ipad-os-26-announce.html")</f>
        <v>https://www.iphonemod.net/ipad-os-26-announce.html</v>
      </c>
      <c r="G1642"/>
      <c r="H1642" t="inlineStr">
        <is>
          <t>YouTube</t>
        </is>
      </c>
      <c r="I1642" t="inlineStr">
        <is>
          <t>งานประจำวัน</t>
        </is>
      </c>
      <c r="J1642" t="inlineStr">
        <is>
          <t>Done</t>
        </is>
      </c>
      <c r="K1642" t="inlineStr">
        <is>
          <t>เนื้อหาอิงจากในเว็บที่เขียนล่าสุด</t>
        </is>
      </c>
      <c r="L1642" s="3"/>
      <c r="M1642" t="inlineStr">
        <is>
          <t>1</t>
        </is>
      </c>
      <c r="N1642" t="inlineStr">
        <is>
          <t>Apple</t>
        </is>
      </c>
      <c r="O1642"/>
    </row>
    <row r="1643" ht="12.75" customHeight="1">
      <c r="A1643" t="inlineStr">
        <is>
          <t>สรุป iOS 26 ในงาน WWDC25</t>
        </is>
      </c>
      <c r="B1643" t="inlineStr">
        <is>
          <t>Saktaphat Kordjan</t>
        </is>
      </c>
      <c r="C1643" s="2">
        <v>45818</v>
      </c>
      <c r="D1643" s="2"/>
      <c r="E1643" t="inlineStr">
        <is>
          <t xml:space="preserve">ด่วนมาก! </t>
        </is>
      </c>
      <c r="F1643" s="3"/>
      <c r="G1643"/>
      <c r="H1643" t="inlineStr">
        <is>
          <t>YouTube</t>
        </is>
      </c>
      <c r="I1643" t="inlineStr">
        <is>
          <t>งานประจำวัน</t>
        </is>
      </c>
      <c r="J1643" t="inlineStr">
        <is>
          <t>Done</t>
        </is>
      </c>
      <c r="K1643" t="inlineStr">
        <is>
          <t>สรุปงานเปิดตัว</t>
        </is>
      </c>
      <c r="L1643" s="3"/>
      <c r="M1643" t="inlineStr">
        <is>
          <t>1</t>
        </is>
      </c>
      <c r="N1643" t="inlineStr">
        <is>
          <t>Apple</t>
        </is>
      </c>
      <c r="O1643"/>
    </row>
    <row r="1644" ht="12.75" customHeight="1">
      <c r="A1644" t="inlineStr">
        <is>
          <t>iOS 26 อัปเดตเพิ่มฟีเจอร์ Airpods</t>
        </is>
      </c>
      <c r="B1644" t="inlineStr">
        <is>
          <t>Saktaphat Kordjan</t>
        </is>
      </c>
      <c r="C1644" s="2">
        <v>45818</v>
      </c>
      <c r="D1644" s="2"/>
      <c r="E1644" t="inlineStr">
        <is>
          <t>ปกติ</t>
        </is>
      </c>
      <c r="F1644" s="3" t="str">
        <f>=HYPERLINK("http://Thitirath Kinarethttps://nr.apple.com/DV2T3x7GT4", "Thitirath Kinarethttps://nr.apple.com/DV2T3x7GT4")</f>
        <v>Thitirath Kinarethttps://nr.apple.com/DV2T3x7GT4</v>
      </c>
      <c r="G1644"/>
      <c r="H1644" t="inlineStr">
        <is>
          <t>Website</t>
        </is>
      </c>
      <c r="I1644" t="inlineStr">
        <is>
          <t>งานประจำวัน</t>
        </is>
      </c>
      <c r="J1644" t="inlineStr">
        <is>
          <t>Done</t>
        </is>
      </c>
      <c r="K1644"/>
      <c r="L1644" s="3"/>
      <c r="M1644" t="inlineStr">
        <is>
          <t>1</t>
        </is>
      </c>
      <c r="N1644" t="inlineStr">
        <is>
          <t>Apple</t>
        </is>
      </c>
      <c r="O1644"/>
    </row>
    <row r="1645" ht="12.75" customHeight="1">
      <c r="A1645" t="inlineStr">
        <is>
          <t>สรุป MacOs26,WatchOS26 และVisionSO26</t>
        </is>
      </c>
      <c r="B1645" t="inlineStr">
        <is>
          <t>Saktaphat Kordjan</t>
        </is>
      </c>
      <c r="C1645" s="2">
        <v>45818</v>
      </c>
      <c r="D1645" s="2"/>
      <c r="E1645" t="inlineStr">
        <is>
          <t>ด่วน!</t>
        </is>
      </c>
      <c r="F1645" s="3"/>
      <c r="G1645"/>
      <c r="H1645" t="inlineStr">
        <is>
          <t>YouTube</t>
        </is>
      </c>
      <c r="I1645" t="inlineStr">
        <is>
          <t>งานประจำวัน</t>
        </is>
      </c>
      <c r="J1645" t="inlineStr">
        <is>
          <t>Done</t>
        </is>
      </c>
      <c r="K1645"/>
      <c r="L1645" s="3"/>
      <c r="M1645" t="inlineStr">
        <is>
          <t>1</t>
        </is>
      </c>
      <c r="N1645" t="inlineStr">
        <is>
          <t>Apple</t>
        </is>
      </c>
      <c r="O1645"/>
    </row>
    <row r="1646" ht="12.75" customHeight="1">
      <c r="A1646" t="inlineStr">
        <is>
          <t>สรุปอุปกรณ์รุ่นที่รองรับ iOS 26</t>
        </is>
      </c>
      <c r="B1646" t="inlineStr">
        <is>
          <t>Sasithakan Sritonthip</t>
        </is>
      </c>
      <c r="C1646" s="2">
        <v>45818</v>
      </c>
      <c r="D1646" s="2"/>
      <c r="E1646" t="inlineStr">
        <is>
          <t xml:space="preserve">ด่วนมาก! </t>
        </is>
      </c>
      <c r="F1646" s="3"/>
      <c r="G1646"/>
      <c r="H1646" t="inlineStr">
        <is>
          <t>Website</t>
        </is>
      </c>
      <c r="I1646" t="inlineStr">
        <is>
          <t>งานประจำวัน</t>
        </is>
      </c>
      <c r="J1646" t="inlineStr">
        <is>
          <t>Done</t>
        </is>
      </c>
      <c r="K1646"/>
      <c r="L1646" s="3" t="str">
        <f>=HYPERLINK("https://www.iphonemod.net/os-ipados-watchos-macos-tvos-ios-26.html", "https://www.iphonemod.net/os-ipados-watchos-macos-tvos-ios-26.html")</f>
        <v>https://www.iphonemod.net/os-ipados-watchos-macos-tvos-ios-26.html</v>
      </c>
      <c r="M1646" t="inlineStr">
        <is>
          <t>1</t>
        </is>
      </c>
      <c r="N1646" t="inlineStr">
        <is>
          <t>Apple</t>
        </is>
      </c>
      <c r="O1646"/>
    </row>
    <row r="1647" ht="12.75" customHeight="1">
      <c r="A1647" t="inlineStr">
        <is>
          <t>สรุป watchOS 26</t>
        </is>
      </c>
      <c r="B1647" t="inlineStr">
        <is>
          <t>Sasithakan Sritonthip</t>
        </is>
      </c>
      <c r="C1647" s="2">
        <v>45818</v>
      </c>
      <c r="D1647" s="2"/>
      <c r="E1647" t="inlineStr">
        <is>
          <t>ด่วน!</t>
        </is>
      </c>
      <c r="F1647" s="3"/>
      <c r="G1647"/>
      <c r="H1647" t="inlineStr">
        <is>
          <t>Website</t>
        </is>
      </c>
      <c r="I1647" t="inlineStr">
        <is>
          <t>งานประจำวัน</t>
        </is>
      </c>
      <c r="J1647" t="inlineStr">
        <is>
          <t>Done</t>
        </is>
      </c>
      <c r="K1647"/>
      <c r="L1647" s="3" t="str">
        <f>=HYPERLINK("https://www.iphonemod.net/apple-watch-os-26-work-out-buddy.html", "https://www.iphonemod.net/apple-watch-os-26-work-out-buddy.html")</f>
        <v>https://www.iphonemod.net/apple-watch-os-26-work-out-buddy.html</v>
      </c>
      <c r="M1647" t="inlineStr">
        <is>
          <t>1</t>
        </is>
      </c>
      <c r="N1647" t="inlineStr">
        <is>
          <t>Apple</t>
        </is>
      </c>
      <c r="O1647"/>
    </row>
    <row r="1648" ht="12.75" customHeight="1">
      <c r="A1648" t="inlineStr">
        <is>
          <t>Apple ปรับปรุง iPadOS จัดการให้ใช้งานลื่นไหล ทำงานได้สะดวกขึ้น</t>
        </is>
      </c>
      <c r="B1648" t="inlineStr">
        <is>
          <t>Sasithakan Sritonthip</t>
        </is>
      </c>
      <c r="C1648" s="2">
        <v>45818</v>
      </c>
      <c r="D1648" s="2"/>
      <c r="E1648" t="inlineStr">
        <is>
          <t>ปกติ</t>
        </is>
      </c>
      <c r="F1648" s="3"/>
      <c r="G1648"/>
      <c r="H1648" t="inlineStr">
        <is>
          <t>Website</t>
        </is>
      </c>
      <c r="I1648" t="inlineStr">
        <is>
          <t>งานประจำวัน</t>
        </is>
      </c>
      <c r="J1648" t="inlineStr">
        <is>
          <t>Done</t>
        </is>
      </c>
      <c r="K1648"/>
      <c r="L1648" s="3" t="str">
        <f>=HYPERLINK("https://www.iphonemod.net/apple-improve-multitask-and-other.html", "https://www.iphonemod.net/apple-improve-multitask-and-other.html")</f>
        <v>https://www.iphonemod.net/apple-improve-multitask-and-other.html</v>
      </c>
      <c r="M1648" t="inlineStr">
        <is>
          <t>1</t>
        </is>
      </c>
      <c r="N1648" t="inlineStr">
        <is>
          <t>Apple</t>
        </is>
      </c>
      <c r="O1648"/>
    </row>
    <row r="1649" ht="12.75" customHeight="1">
      <c r="A1649" t="inlineStr">
        <is>
          <t>คลิปสั้น iOS26 หน้าจอล็อค</t>
        </is>
      </c>
      <c r="B1649" t="inlineStr">
        <is>
          <t>Sasithakan Sritonthip,Saktaphat Kordjan</t>
        </is>
      </c>
      <c r="C1649" s="2">
        <v>45818</v>
      </c>
      <c r="D1649" s="2"/>
      <c r="E1649" t="inlineStr">
        <is>
          <t>ด่วน!</t>
        </is>
      </c>
      <c r="F1649" s="3" t="str">
        <f>=HYPERLINK("https://www.apple.com/th/newsroom/2025/06/apple-elevates-the-iphone-experience-with-ios-26/", "https://www.apple.com/th/newsroom/2025/06/apple-elevates-the-iphone-experience-with-ios-26/")</f>
        <v>https://www.apple.com/th/newsroom/2025/06/apple-elevates-the-iphone-experience-with-ios-26/</v>
      </c>
      <c r="G1649"/>
      <c r="H1649" t="inlineStr">
        <is>
          <t>Shorts</t>
        </is>
      </c>
      <c r="I1649" t="inlineStr">
        <is>
          <t>งานประจำวัน</t>
        </is>
      </c>
      <c r="J1649" t="inlineStr">
        <is>
          <t>Done</t>
        </is>
      </c>
      <c r="K1649"/>
      <c r="L1649" s="3"/>
      <c r="M1649" t="inlineStr">
        <is>
          <t>1</t>
        </is>
      </c>
      <c r="N1649" t="inlineStr">
        <is>
          <t>Apple</t>
        </is>
      </c>
      <c r="O1649"/>
    </row>
    <row r="1650" ht="12.75" customHeight="1">
      <c r="A1650" t="inlineStr">
        <is>
          <t>รวมไฮไลท์เด็ดบน iPadOS 26 มีอะไรบ้างมาดูกัน</t>
        </is>
      </c>
      <c r="B1650" t="inlineStr">
        <is>
          <t>Nattida Suriyodara,Sasithakan Sritonthip</t>
        </is>
      </c>
      <c r="C1650" s="2">
        <v>45818</v>
      </c>
      <c r="D1650" s="2"/>
      <c r="E1650" t="inlineStr">
        <is>
          <t>ปกติ</t>
        </is>
      </c>
      <c r="F1650" s="3"/>
      <c r="G1650"/>
      <c r="H1650" t="inlineStr">
        <is>
          <t>Shorts</t>
        </is>
      </c>
      <c r="I1650" t="inlineStr">
        <is>
          <t>งานประจำวัน</t>
        </is>
      </c>
      <c r="J1650" t="inlineStr">
        <is>
          <t>Done</t>
        </is>
      </c>
      <c r="K1650"/>
      <c r="L1650" s="3"/>
      <c r="M1650" t="inlineStr">
        <is>
          <t>1</t>
        </is>
      </c>
      <c r="N1650" t="inlineStr">
        <is>
          <t>Apple</t>
        </is>
      </c>
      <c r="O1650"/>
    </row>
    <row r="1651" ht="12.75" customHeight="1">
      <c r="A1651" t="inlineStr">
        <is>
          <t>iOS 26 มีฟีเจอร์ Adaptive Power ช่วยเพิ่มเวลาใช้แบต
</t>
        </is>
      </c>
      <c r="B1651" t="inlineStr">
        <is>
          <t>Thitirath Kinaret</t>
        </is>
      </c>
      <c r="C1651" s="2">
        <v>45818</v>
      </c>
      <c r="D1651" s="2">
        <v>45818</v>
      </c>
      <c r="E1651" t="inlineStr">
        <is>
          <t>ปกติ</t>
        </is>
      </c>
      <c r="F1651" s="3"/>
      <c r="G1651"/>
      <c r="H1651" t="inlineStr">
        <is>
          <t>Website</t>
        </is>
      </c>
      <c r="I1651" t="inlineStr">
        <is>
          <t>งานประจำวัน</t>
        </is>
      </c>
      <c r="J1651" t="inlineStr">
        <is>
          <t>Done</t>
        </is>
      </c>
      <c r="K1651"/>
      <c r="L1651" s="3" t="str">
        <f>=HYPERLINK("https://www.iphonemod.net/ios-26-adaptive-power-feature.html", "https://www.iphonemod.net/ios-26-adaptive-power-feature.html")</f>
        <v>https://www.iphonemod.net/ios-26-adaptive-power-feature.html</v>
      </c>
      <c r="M1651" t="inlineStr">
        <is>
          <t>1</t>
        </is>
      </c>
      <c r="N1651" t="inlineStr">
        <is>
          <t>Apple</t>
        </is>
      </c>
      <c r="O1651"/>
    </row>
    <row r="1652" ht="12.75" customHeight="1">
      <c r="A1652" t="inlineStr">
        <is>
          <t>iOS 26 ดูได้ว่าใช้เวลาชาร์จแบตนานเท่าไหร่
</t>
        </is>
      </c>
      <c r="B1652" t="inlineStr">
        <is>
          <t>Thitirath Kinaret</t>
        </is>
      </c>
      <c r="C1652" s="2">
        <v>45818</v>
      </c>
      <c r="D1652" s="2">
        <v>45818</v>
      </c>
      <c r="E1652" t="inlineStr">
        <is>
          <t>ปกติ</t>
        </is>
      </c>
      <c r="F1652" s="3"/>
      <c r="G1652"/>
      <c r="H1652" t="inlineStr">
        <is>
          <t>Website</t>
        </is>
      </c>
      <c r="I1652" t="inlineStr">
        <is>
          <t>งานประจำวัน</t>
        </is>
      </c>
      <c r="J1652" t="inlineStr">
        <is>
          <t>Done</t>
        </is>
      </c>
      <c r="K1652"/>
      <c r="L1652" s="3" t="str">
        <f>=HYPERLINK("https://www.iphonemod.net/ios-26-how-long-take-battery-to-charge.html", "https://www.iphonemod.net/ios-26-how-long-take-battery-to-charge.html")</f>
        <v>https://www.iphonemod.net/ios-26-how-long-take-battery-to-charge.html</v>
      </c>
      <c r="M1652" t="inlineStr">
        <is>
          <t>1</t>
        </is>
      </c>
      <c r="N1652" t="inlineStr">
        <is>
          <t>Apple</t>
        </is>
      </c>
      <c r="O1652"/>
    </row>
    <row r="1653" ht="12.75" customHeight="1">
      <c r="A1653" t="inlineStr">
        <is>
          <t>ภาพพื้นหลัง (Wallpaper) iOS 26 สำหรับ iPhone
</t>
        </is>
      </c>
      <c r="B1653" t="inlineStr">
        <is>
          <t>Thitirath Kinaret</t>
        </is>
      </c>
      <c r="C1653" s="2">
        <v>45818</v>
      </c>
      <c r="D1653" s="2">
        <v>45818</v>
      </c>
      <c r="E1653" t="inlineStr">
        <is>
          <t>ปกติ</t>
        </is>
      </c>
      <c r="F1653" s="3"/>
      <c r="G1653"/>
      <c r="H1653" t="inlineStr">
        <is>
          <t>Website</t>
        </is>
      </c>
      <c r="I1653" t="inlineStr">
        <is>
          <t>งานประจำวัน</t>
        </is>
      </c>
      <c r="J1653" t="inlineStr">
        <is>
          <t>Done</t>
        </is>
      </c>
      <c r="K1653"/>
      <c r="L1653" s="3" t="str">
        <f>=HYPERLINK("https://www.iphonemod.net/ios-26-iphone-wallpaper.html", "https://www.iphonemod.net/ios-26-iphone-wallpaper.html")</f>
        <v>https://www.iphonemod.net/ios-26-iphone-wallpaper.html</v>
      </c>
      <c r="M1653" t="inlineStr">
        <is>
          <t>1</t>
        </is>
      </c>
      <c r="N1653" t="inlineStr">
        <is>
          <t>Apple</t>
        </is>
      </c>
      <c r="O1653"/>
    </row>
    <row r="1654" ht="12.75" customHeight="1">
      <c r="A1654" t="inlineStr">
        <is>
          <t>ภาพพื้นหลัง (Wallpaper) macOS Tahoe สำหรับ Mac
</t>
        </is>
      </c>
      <c r="B1654" t="inlineStr">
        <is>
          <t>Thitirath Kinaret</t>
        </is>
      </c>
      <c r="C1654" s="2">
        <v>45818</v>
      </c>
      <c r="D1654" s="2">
        <v>45818</v>
      </c>
      <c r="E1654" t="inlineStr">
        <is>
          <t>ปกติ</t>
        </is>
      </c>
      <c r="F1654" s="3"/>
      <c r="G1654"/>
      <c r="H1654" t="inlineStr">
        <is>
          <t>Website</t>
        </is>
      </c>
      <c r="I1654" t="inlineStr">
        <is>
          <t>งานประจำวัน</t>
        </is>
      </c>
      <c r="J1654" t="inlineStr">
        <is>
          <t>Done</t>
        </is>
      </c>
      <c r="K1654"/>
      <c r="L1654" s="3" t="str">
        <f>=HYPERLINK("https://www.iphonemod.net/macos-tahoe-26-wallpaper-mac.html", "https://www.iphonemod.net/macos-tahoe-26-wallpaper-mac.html")</f>
        <v>https://www.iphonemod.net/macos-tahoe-26-wallpaper-mac.html</v>
      </c>
      <c r="M1654" t="inlineStr">
        <is>
          <t>1</t>
        </is>
      </c>
      <c r="N1654" t="inlineStr">
        <is>
          <t>Apple</t>
        </is>
      </c>
      <c r="O1654"/>
    </row>
    <row r="1655" ht="12.75" customHeight="1">
      <c r="A1655" t="inlineStr">
        <is>
          <t>Mac รุ่นชิป Intel จะได้อัปเดต macOS Tahoe 26 เป็นเวอร์ชันสุดท้าย
</t>
        </is>
      </c>
      <c r="B1655" t="inlineStr">
        <is>
          <t>Thitirath Kinaret</t>
        </is>
      </c>
      <c r="C1655" s="2">
        <v>45818</v>
      </c>
      <c r="D1655" s="2">
        <v>45818</v>
      </c>
      <c r="E1655" t="inlineStr">
        <is>
          <t>ปกติ</t>
        </is>
      </c>
      <c r="F1655" s="3"/>
      <c r="G1655"/>
      <c r="H1655" t="inlineStr">
        <is>
          <t>Website, Pic Posts / Album</t>
        </is>
      </c>
      <c r="I1655" t="inlineStr">
        <is>
          <t>งานประจำวัน</t>
        </is>
      </c>
      <c r="J1655" t="inlineStr">
        <is>
          <t>Done</t>
        </is>
      </c>
      <c r="K1655"/>
      <c r="L1655" s="3" t="str">
        <f>=HYPERLINK("https://www.iphonemod.net/macos-tahoe-26-final-release-for-mac-intel.html", "https://www.iphonemod.net/macos-tahoe-26-final-release-for-mac-intel.html")</f>
        <v>https://www.iphonemod.net/macos-tahoe-26-final-release-for-mac-intel.html</v>
      </c>
      <c r="M1655" t="inlineStr">
        <is>
          <t>1</t>
        </is>
      </c>
      <c r="N1655" t="inlineStr">
        <is>
          <t>Apple</t>
        </is>
      </c>
      <c r="O1655"/>
    </row>
    <row r="1656" ht="12.75" customHeight="1">
      <c r="A1656" t="inlineStr">
        <is>
          <t>ทำไม Apple ใช้เลข 26 ต่อท้ายชื่อ OS ทั้งหมด
</t>
        </is>
      </c>
      <c r="B1656" t="inlineStr">
        <is>
          <t>Thitirath Kinaret</t>
        </is>
      </c>
      <c r="C1656" s="2">
        <v>45818</v>
      </c>
      <c r="D1656" s="2">
        <v>45818</v>
      </c>
      <c r="E1656" t="inlineStr">
        <is>
          <t>ปกติ</t>
        </is>
      </c>
      <c r="F1656" s="3"/>
      <c r="G1656"/>
      <c r="H1656" t="inlineStr">
        <is>
          <t>Website, Pic Posts / Album</t>
        </is>
      </c>
      <c r="I1656" t="inlineStr">
        <is>
          <t>งานประจำวัน</t>
        </is>
      </c>
      <c r="J1656" t="inlineStr">
        <is>
          <t>Done</t>
        </is>
      </c>
      <c r="K1656"/>
      <c r="L1656" s="3" t="str">
        <f>=HYPERLINK("https://www.iphonemod.net/why-apple-use-26-name-suffix-os-2025.html", "https://www.iphonemod.net/why-apple-use-26-name-suffix-os-2025.html")</f>
        <v>https://www.iphonemod.net/why-apple-use-26-name-suffix-os-2025.html</v>
      </c>
      <c r="M1656" t="inlineStr">
        <is>
          <t>1</t>
        </is>
      </c>
      <c r="N1656" t="inlineStr">
        <is>
          <t>Apple</t>
        </is>
      </c>
      <c r="O1656"/>
    </row>
    <row r="1657" ht="12.75" customHeight="1">
      <c r="A1657" t="inlineStr">
        <is>
          <t>Apple เผย iOS 7 คือการปรับดีไซน์ครั้งใหญ่ ก่อนจะมาปรับอีกครั้งใน iOS 26
</t>
        </is>
      </c>
      <c r="B1657" t="inlineStr">
        <is>
          <t>Thitirath Kinaret</t>
        </is>
      </c>
      <c r="C1657" s="2">
        <v>45818</v>
      </c>
      <c r="D1657" s="2">
        <v>45818</v>
      </c>
      <c r="E1657" t="inlineStr">
        <is>
          <t>ปกติ</t>
        </is>
      </c>
      <c r="F1657" s="3"/>
      <c r="G1657"/>
      <c r="H1657" t="inlineStr">
        <is>
          <t>Website, Pic Posts / Album</t>
        </is>
      </c>
      <c r="I1657" t="inlineStr">
        <is>
          <t>งานประจำวัน</t>
        </is>
      </c>
      <c r="J1657" t="inlineStr">
        <is>
          <t>Done</t>
        </is>
      </c>
      <c r="K1657"/>
      <c r="L1657" s="3" t="str">
        <f>=HYPERLINK("https://www.iphonemod.net/apple-said-ios-7-big-change-design-before-ios-26.html", "https://www.iphonemod.net/apple-said-ios-7-big-change-design-before-ios-26.html")</f>
        <v>https://www.iphonemod.net/apple-said-ios-7-big-change-design-before-ios-26.html</v>
      </c>
      <c r="M1657" t="inlineStr">
        <is>
          <t>1</t>
        </is>
      </c>
      <c r="N1657" t="inlineStr">
        <is>
          <t>Apple</t>
        </is>
      </c>
      <c r="O1657"/>
    </row>
    <row r="1658" ht="12.75" customHeight="1">
      <c r="A1658" t="inlineStr">
        <is>
          <t>สรุปอุปกรณ์รุ่นรองรับ iOS 26, iPadOS 26, macOS Tahoe และ watchOS 26
</t>
        </is>
      </c>
      <c r="B1658" t="inlineStr">
        <is>
          <t>Thitirath Kinaret</t>
        </is>
      </c>
      <c r="C1658" s="2">
        <v>45818</v>
      </c>
      <c r="D1658" s="2">
        <v>45818</v>
      </c>
      <c r="E1658" t="inlineStr">
        <is>
          <t>ปกติ</t>
        </is>
      </c>
      <c r="F1658" s="3"/>
      <c r="G1658"/>
      <c r="H1658" t="inlineStr">
        <is>
          <t>Pic Posts / Album</t>
        </is>
      </c>
      <c r="I1658" t="inlineStr">
        <is>
          <t>งานประจำวัน</t>
        </is>
      </c>
      <c r="J1658" t="inlineStr">
        <is>
          <t>Done</t>
        </is>
      </c>
      <c r="K1658"/>
      <c r="L1658" s="3" t="str">
        <f>=HYPERLINK("https://www.facebook.com/iPhonemod/posts/pfbid0hUikC2ckx3tTynaRUfWZwxZ76E6N3GtzwfoQ5JZGDYqjcaKQHckpXkPxT36U35ABl", "https://www.facebook.com/iPhonemod/posts/pfbid0hUikC2ckx3tTynaRUfWZwxZ76E6N3GtzwfoQ5JZGDYqjcaKQHckpXkPxT36U35ABl")</f>
        <v>https://www.facebook.com/iPhonemod/posts/pfbid0hUikC2ckx3tTynaRUfWZwxZ76E6N3GtzwfoQ5JZGDYqjcaKQHckpXkPxT36U35ABl</v>
      </c>
      <c r="M1658" t="inlineStr">
        <is>
          <t>1</t>
        </is>
      </c>
      <c r="N1658" t="inlineStr">
        <is>
          <t>Apple</t>
        </is>
      </c>
      <c r="O1658"/>
    </row>
    <row r="1659" ht="12.75" customHeight="1">
      <c r="A1659" t="inlineStr">
        <is>
          <t>ยืนยัน! iPhone รุ่นรองรับ iOS 26 เช็คได้ตามนี้ 
</t>
        </is>
      </c>
      <c r="B1659" t="inlineStr">
        <is>
          <t>Thitirath Kinaret</t>
        </is>
      </c>
      <c r="C1659" s="2">
        <v>45818</v>
      </c>
      <c r="D1659" s="2">
        <v>45818</v>
      </c>
      <c r="E1659" t="inlineStr">
        <is>
          <t>ปกติ</t>
        </is>
      </c>
      <c r="F1659" s="3"/>
      <c r="G1659"/>
      <c r="H1659" t="inlineStr">
        <is>
          <t>Pic Posts / Album</t>
        </is>
      </c>
      <c r="I1659" t="inlineStr">
        <is>
          <t>งานประจำวัน</t>
        </is>
      </c>
      <c r="J1659" t="inlineStr">
        <is>
          <t>Done</t>
        </is>
      </c>
      <c r="K1659"/>
      <c r="L1659" s="3" t="str">
        <f>=HYPERLINK("https://www.facebook.com/iPhonemod/posts/pfbid0bgnngd41HXfkrAoQeoXkv8gR6KrsSKcP1KgwfvLMpHt2tXFXWUCTfsobKUVpBTuRl", "https://www.facebook.com/iPhonemod/posts/pfbid0bgnngd41HXfkrAoQeoXkv8gR6KrsSKcP1KgwfvLMpHt2tXFXWUCTfsobKUVpBTuRl")</f>
        <v>https://www.facebook.com/iPhonemod/posts/pfbid0bgnngd41HXfkrAoQeoXkv8gR6KrsSKcP1KgwfvLMpHt2tXFXWUCTfsobKUVpBTuRl</v>
      </c>
      <c r="M1659" t="inlineStr">
        <is>
          <t>1</t>
        </is>
      </c>
      <c r="N1659" t="inlineStr">
        <is>
          <t>Apple</t>
        </is>
      </c>
      <c r="O1659"/>
    </row>
    <row r="1660" ht="12.75" customHeight="1">
      <c r="A1660" t="inlineStr">
        <is>
          <t xml:space="preserve">iOS 26 ดีไซน์ใหม่ Liquid Glass </t>
        </is>
      </c>
      <c r="B1660" t="inlineStr">
        <is>
          <t>Saktaphat Kordjan</t>
        </is>
      </c>
      <c r="C1660" s="2">
        <v>45818</v>
      </c>
      <c r="D1660" s="2"/>
      <c r="E1660" t="inlineStr">
        <is>
          <t>ปกติ</t>
        </is>
      </c>
      <c r="F1660" s="3"/>
      <c r="G1660"/>
      <c r="H1660" t="inlineStr">
        <is>
          <t>Shorts</t>
        </is>
      </c>
      <c r="I1660" t="inlineStr">
        <is>
          <t>งานประจำวัน</t>
        </is>
      </c>
      <c r="J1660" t="inlineStr">
        <is>
          <t>Done</t>
        </is>
      </c>
      <c r="K1660"/>
      <c r="L1660" s="3"/>
      <c r="M1660" t="inlineStr">
        <is>
          <t>1</t>
        </is>
      </c>
      <c r="N1660" t="inlineStr">
        <is>
          <t>Apple</t>
        </is>
      </c>
      <c r="O1660"/>
    </row>
    <row r="1661" ht="12.75" customHeight="1">
      <c r="A1661" t="inlineStr">
        <is>
          <t>iPhone XR, iPhone XS, iPhone XS Max ไม่ได้ไปต่อ iOS 26 
</t>
        </is>
      </c>
      <c r="B1661" t="inlineStr">
        <is>
          <t>Thitirath Kinaret</t>
        </is>
      </c>
      <c r="C1661" s="2">
        <v>45818</v>
      </c>
      <c r="D1661" s="2">
        <v>45818</v>
      </c>
      <c r="E1661" t="inlineStr">
        <is>
          <t>ปกติ</t>
        </is>
      </c>
      <c r="F1661" s="3"/>
      <c r="G1661"/>
      <c r="H1661" t="inlineStr">
        <is>
          <t>Pic Posts / Album</t>
        </is>
      </c>
      <c r="I1661" t="inlineStr">
        <is>
          <t>งานประจำวัน</t>
        </is>
      </c>
      <c r="J1661" t="inlineStr">
        <is>
          <t>Done</t>
        </is>
      </c>
      <c r="K1661"/>
      <c r="L1661" s="3" t="str">
        <f>=HYPERLINK("https://www.facebook.com/iPhonemod/posts/pfbid02xcssrTYNYJpqQLKvjApXS47sT7XNEfthUqPeyEjE8EWvYn9qhmzci2FC4U7os3Z7l", "https://www.facebook.com/iPhonemod/posts/pfbid02xcssrTYNYJpqQLKvjApXS47sT7XNEfthUqPeyEjE8EWvYn9qhmzci2FC4U7os3Z7l")</f>
        <v>https://www.facebook.com/iPhonemod/posts/pfbid02xcssrTYNYJpqQLKvjApXS47sT7XNEfthUqPeyEjE8EWvYn9qhmzci2FC4U7os3Z7l</v>
      </c>
      <c r="M1661" t="inlineStr">
        <is>
          <t>1</t>
        </is>
      </c>
      <c r="N1661" t="inlineStr">
        <is>
          <t>Apple</t>
        </is>
      </c>
      <c r="O1661"/>
    </row>
    <row r="1662" ht="12.75" customHeight="1">
      <c r="A1662" t="inlineStr">
        <is>
          <t>กำหนดการปล่อยอัปเดต iOS 26
</t>
        </is>
      </c>
      <c r="B1662" t="inlineStr">
        <is>
          <t>Thitirath Kinaret</t>
        </is>
      </c>
      <c r="C1662" s="2">
        <v>45818</v>
      </c>
      <c r="D1662" s="2">
        <v>45818</v>
      </c>
      <c r="E1662" t="inlineStr">
        <is>
          <t>ปกติ</t>
        </is>
      </c>
      <c r="F1662" s="3"/>
      <c r="G1662"/>
      <c r="H1662" t="inlineStr">
        <is>
          <t>Pic Posts / Album</t>
        </is>
      </c>
      <c r="I1662" t="inlineStr">
        <is>
          <t>งานประจำวัน</t>
        </is>
      </c>
      <c r="J1662" t="inlineStr">
        <is>
          <t>Done</t>
        </is>
      </c>
      <c r="K1662"/>
      <c r="L1662" s="3" t="str">
        <f>=HYPERLINK("https://www.facebook.com/iPhonemod/posts/pfbid02rLE2fkUtiQLuCkBXJitByjNkaEn6TvkEcdA6qNrRLfi7iE6U4BsyEL3TLZb7ZXupl", "https://www.facebook.com/iPhonemod/posts/pfbid02rLE2fkUtiQLuCkBXJitByjNkaEn6TvkEcdA6qNrRLfi7iE6U4BsyEL3TLZb7ZXupl")</f>
        <v>https://www.facebook.com/iPhonemod/posts/pfbid02rLE2fkUtiQLuCkBXJitByjNkaEn6TvkEcdA6qNrRLfi7iE6U4BsyEL3TLZb7ZXupl</v>
      </c>
      <c r="M1662" t="inlineStr">
        <is>
          <t>1</t>
        </is>
      </c>
      <c r="N1662" t="inlineStr">
        <is>
          <t>Apple</t>
        </is>
      </c>
      <c r="O1662"/>
    </row>
    <row r="1663" ht="12.75" customHeight="1">
      <c r="A1663" t="inlineStr">
        <is>
          <t>iOS 26 มาพร้อมการปรับแต่งรูปแบบหน้าจอ Clear (โปร่งใส)
</t>
        </is>
      </c>
      <c r="B1663" t="inlineStr">
        <is>
          <t>Thitirath Kinaret</t>
        </is>
      </c>
      <c r="C1663" s="2">
        <v>45818</v>
      </c>
      <c r="D1663" s="2">
        <v>45818</v>
      </c>
      <c r="E1663" t="inlineStr">
        <is>
          <t>ปกติ</t>
        </is>
      </c>
      <c r="F1663" s="3"/>
      <c r="G1663"/>
      <c r="H1663" t="inlineStr">
        <is>
          <t>Pic Posts / Album</t>
        </is>
      </c>
      <c r="I1663" t="inlineStr">
        <is>
          <t>งานประจำวัน</t>
        </is>
      </c>
      <c r="J1663" t="inlineStr">
        <is>
          <t>Done</t>
        </is>
      </c>
      <c r="K1663"/>
      <c r="L1663" s="3" t="str">
        <f>=HYPERLINK("https://www.facebook.com/iPhonemod/posts/pfbid0szYqmj4Gxxc3D3nifp5wt6cvHVjxmnGLd559ya8cd5sjWPv4UgofFLnHeoxwETYCl", "https://www.facebook.com/iPhonemod/posts/pfbid0szYqmj4Gxxc3D3nifp5wt6cvHVjxmnGLd559ya8cd5sjWPv4UgofFLnHeoxwETYCl")</f>
        <v>https://www.facebook.com/iPhonemod/posts/pfbid0szYqmj4Gxxc3D3nifp5wt6cvHVjxmnGLd559ya8cd5sjWPv4UgofFLnHeoxwETYCl</v>
      </c>
      <c r="M1663" t="inlineStr">
        <is>
          <t>1</t>
        </is>
      </c>
      <c r="N1663" t="inlineStr">
        <is>
          <t>Apple</t>
        </is>
      </c>
      <c r="O1663"/>
    </row>
    <row r="1664" ht="12.75" customHeight="1">
      <c r="A1664" t="inlineStr">
        <is>
          <t>Apple เปิดตัว iOS 26 พร้อมอัปเกรด CarPlay ครั้งใหญ่ ฟีเจอร์ใหม่มากมาย พร้อมเพิ่ม Car Key ให้แบรนด์รถ EV เพียบ!</t>
        </is>
      </c>
      <c r="B1664" t="inlineStr">
        <is>
          <t>Nuttanon</t>
        </is>
      </c>
      <c r="C1664" s="2">
        <v>45818</v>
      </c>
      <c r="D1664" s="2">
        <v>45818</v>
      </c>
      <c r="E1664" t="inlineStr">
        <is>
          <t>ปกติ</t>
        </is>
      </c>
      <c r="F1664" s="3" t="str">
        <f>=HYPERLINK("https://www.facebook.com/iPhonemod/posts/pfbid02QXcTtZnuY4DBYueFx4ygJWCvSp4vSxmePQ5ssM48PCnpUe2PuP6EH7zxi1z3txEGl", "https://www.facebook.com/iPhonemod/posts/pfbid02QXcTtZnuY4DBYueFx4ygJWCvSp4vSxmePQ5ssM48PCnpUe2PuP6EH7zxi1z3txEGl")</f>
        <v>https://www.facebook.com/iPhonemod/posts/pfbid02QXcTtZnuY4DBYueFx4ygJWCvSp4vSxmePQ5ssM48PCnpUe2PuP6EH7zxi1z3txEGl</v>
      </c>
      <c r="G1664"/>
      <c r="H1664" t="inlineStr">
        <is>
          <t>Website, Pic Posts / Album</t>
        </is>
      </c>
      <c r="I1664" t="inlineStr">
        <is>
          <t>งานประจำวัน</t>
        </is>
      </c>
      <c r="J1664" t="inlineStr">
        <is>
          <t>Done</t>
        </is>
      </c>
      <c r="K1664"/>
      <c r="L1664" s="3" t="str">
        <f>=HYPERLINK("https://ev.iphonemod.net/new-carplay-ios-26-new-brand-in-car-key/", "https://ev.iphonemod.net/new-carplay-ios-26-new-brand-in-car-key/")</f>
        <v>https://ev.iphonemod.net/new-carplay-ios-26-new-brand-in-car-key/</v>
      </c>
      <c r="M1664" t="inlineStr">
        <is>
          <t>1</t>
        </is>
      </c>
      <c r="N1664" t="inlineStr">
        <is>
          <t>Apple, EV</t>
        </is>
      </c>
      <c r="O1664"/>
    </row>
    <row r="1665" ht="12.75" customHeight="1">
      <c r="A1665" t="inlineStr">
        <is>
          <t>Volvo EX60 เตรียมปล่อยเข็มขัดนิรภัยอัจฉริยะ Multi-Adaptive นวัตกรรมใหม่หลังผ่านมากว่า 66 ปี ใช้งานจริงปี 2026</t>
        </is>
      </c>
      <c r="B1665" t="inlineStr">
        <is>
          <t>Nuttanon</t>
        </is>
      </c>
      <c r="C1665" s="2">
        <v>45818</v>
      </c>
      <c r="D1665" s="2">
        <v>45818</v>
      </c>
      <c r="E1665" t="inlineStr">
        <is>
          <t>ปกติ</t>
        </is>
      </c>
      <c r="F1665" s="3"/>
      <c r="G1665"/>
      <c r="H1665" t="inlineStr">
        <is>
          <t>Website</t>
        </is>
      </c>
      <c r="I1665" t="inlineStr">
        <is>
          <t>งานประจำวัน</t>
        </is>
      </c>
      <c r="J1665" t="inlineStr">
        <is>
          <t>Done</t>
        </is>
      </c>
      <c r="K1665"/>
      <c r="L1665" s="3" t="str">
        <f>=HYPERLINK("https://ev.iphonemod.net/volvo-ex60-multi-adaptive-seatbelt/", "https://ev.iphonemod.net/volvo-ex60-multi-adaptive-seatbelt/")</f>
        <v>https://ev.iphonemod.net/volvo-ex60-multi-adaptive-seatbelt/</v>
      </c>
      <c r="M1665" t="inlineStr">
        <is>
          <t>1</t>
        </is>
      </c>
      <c r="N1665" t="inlineStr">
        <is>
          <t>EV</t>
        </is>
      </c>
      <c r="O1665"/>
    </row>
    <row r="1666" ht="12.75" customHeight="1">
      <c r="A1666" t="inlineStr">
        <is>
          <t>Xiaomi SU7 Ultra โผล่ให้เล่นในเกม Gran Turismo 7 ถือเป็นรถยนต์ไฟฟ้าจากแบรนด์จีนคันแรกของเกม!</t>
        </is>
      </c>
      <c r="B1666" t="inlineStr">
        <is>
          <t>Nuttanon</t>
        </is>
      </c>
      <c r="C1666" s="2">
        <v>45818</v>
      </c>
      <c r="D1666" s="2">
        <v>45818</v>
      </c>
      <c r="E1666"/>
      <c r="F1666" s="3"/>
      <c r="G1666"/>
      <c r="H1666" t="inlineStr">
        <is>
          <t>Website</t>
        </is>
      </c>
      <c r="I1666" t="inlineStr">
        <is>
          <t>งานประจำวัน</t>
        </is>
      </c>
      <c r="J1666" t="inlineStr">
        <is>
          <t>Done</t>
        </is>
      </c>
      <c r="K1666"/>
      <c r="L1666" s="3" t="str">
        <f>=HYPERLINK("https://ev.iphonemod.net/xiaomi-su7-ultra-gran-turismo-7/", "https://ev.iphonemod.net/xiaomi-su7-ultra-gran-turismo-7/")</f>
        <v>https://ev.iphonemod.net/xiaomi-su7-ultra-gran-turismo-7/</v>
      </c>
      <c r="M1666" t="inlineStr">
        <is>
          <t>1</t>
        </is>
      </c>
      <c r="N1666" t="inlineStr">
        <is>
          <t>EV</t>
        </is>
      </c>
      <c r="O1666"/>
    </row>
    <row r="1667" ht="12.75" customHeight="1">
      <c r="A1667" t="inlineStr">
        <is>
          <t>Kia PV5 รถ MPV ไฟฟ้า เปิดจองในเกาหลีใต้ ใข้ Software “Pleos” ใหม่จาก Hyundai เป็นคันแรก! เริ่มต้น 1.26 ล้านบาท</t>
        </is>
      </c>
      <c r="B1667" t="inlineStr">
        <is>
          <t>Nuttanon</t>
        </is>
      </c>
      <c r="C1667" s="2">
        <v>45818</v>
      </c>
      <c r="D1667" s="2">
        <v>45818</v>
      </c>
      <c r="E1667" t="inlineStr">
        <is>
          <t>ปกติ</t>
        </is>
      </c>
      <c r="F1667" s="3"/>
      <c r="G1667"/>
      <c r="H1667" t="inlineStr">
        <is>
          <t>Website</t>
        </is>
      </c>
      <c r="I1667" t="inlineStr">
        <is>
          <t>งานประจำวัน</t>
        </is>
      </c>
      <c r="J1667" t="inlineStr">
        <is>
          <t>Done</t>
        </is>
      </c>
      <c r="K1667"/>
      <c r="L1667" s="3" t="str">
        <f>=HYPERLINK("https://ev.iphonemod.net/kia-pv5-pre-order-first-car-use-pleos-software/", "https://ev.iphonemod.net/kia-pv5-pre-order-first-car-use-pleos-software/")</f>
        <v>https://ev.iphonemod.net/kia-pv5-pre-order-first-car-use-pleos-software/</v>
      </c>
      <c r="M1667" t="inlineStr">
        <is>
          <t>1</t>
        </is>
      </c>
      <c r="N1667" t="inlineStr">
        <is>
          <t>EV</t>
        </is>
      </c>
      <c r="O1667"/>
    </row>
    <row r="1668" ht="12.75" customHeight="1">
      <c r="A1668" t="inlineStr">
        <is>
          <t>MSI ตู้ชาร์จรถ EV ใหม่! พร้อมพาบุกโรงงานถึงไต้หวัน ตู้ชาร์จใหม่ในงาน Computex 2025 เข้าไทย Q3 ปีนี้</t>
        </is>
      </c>
      <c r="B1668" t="inlineStr">
        <is>
          <t>Nuttanon</t>
        </is>
      </c>
      <c r="C1668" s="2">
        <v>45818</v>
      </c>
      <c r="D1668" s="2">
        <v>45818</v>
      </c>
      <c r="E1668" t="inlineStr">
        <is>
          <t>ปกติ</t>
        </is>
      </c>
      <c r="F1668" s="3"/>
      <c r="G1668"/>
      <c r="H1668" t="inlineStr">
        <is>
          <t>Website, YouTube</t>
        </is>
      </c>
      <c r="I1668" t="inlineStr">
        <is>
          <t>งานลูกค้า</t>
        </is>
      </c>
      <c r="J1668" t="inlineStr">
        <is>
          <t>Done</t>
        </is>
      </c>
      <c r="K1668"/>
      <c r="L1668" s="3" t="str">
        <f>=HYPERLINK("https://ev.iphonemod.net/msi-ev-factory-tour-in-taiwan-computex-2025/", "https://ev.iphonemod.net/msi-ev-factory-tour-in-taiwan-computex-2025/")</f>
        <v>https://ev.iphonemod.net/msi-ev-factory-tour-in-taiwan-computex-2025/</v>
      </c>
      <c r="M1668" t="inlineStr">
        <is>
          <t>1</t>
        </is>
      </c>
      <c r="N1668" t="inlineStr">
        <is>
          <t>EV</t>
        </is>
      </c>
      <c r="O1668"/>
    </row>
    <row r="1669" ht="12.75" customHeight="1">
      <c r="A1669" t="inlineStr">
        <is>
          <t xml:space="preserve">CarPlay โฉมใหม่! ใน iOS 26 </t>
        </is>
      </c>
      <c r="B1669" t="inlineStr">
        <is>
          <t>Nuttanon</t>
        </is>
      </c>
      <c r="C1669" s="2">
        <v>45818</v>
      </c>
      <c r="D1669" s="2">
        <v>45818</v>
      </c>
      <c r="E1669" t="inlineStr">
        <is>
          <t>ปกติ</t>
        </is>
      </c>
      <c r="F1669" s="3"/>
      <c r="G1669"/>
      <c r="H1669" t="inlineStr">
        <is>
          <t>Shorts</t>
        </is>
      </c>
      <c r="I1669" t="inlineStr">
        <is>
          <t>งานประจำวัน</t>
        </is>
      </c>
      <c r="J1669" t="inlineStr">
        <is>
          <t>Done</t>
        </is>
      </c>
      <c r="K1669"/>
      <c r="L1669" s="3" t="str">
        <f>=HYPERLINK("https://www.facebook.com/reel/9868578956596483", "https://www.facebook.com/reel/9868578956596483")</f>
        <v>https://www.facebook.com/reel/9868578956596483</v>
      </c>
      <c r="M1669" t="inlineStr">
        <is>
          <t>1</t>
        </is>
      </c>
      <c r="N1669" t="inlineStr">
        <is>
          <t>Apple, EV</t>
        </is>
      </c>
      <c r="O1669"/>
    </row>
    <row r="1670" ht="12.75" customHeight="1">
      <c r="A1670" t="inlineStr">
        <is>
          <t>Apple โปรโมทภาพยนตร์ F1 The Movie ในงาน WWDC25</t>
        </is>
      </c>
      <c r="B1670" t="inlineStr">
        <is>
          <t>Sakura</t>
        </is>
      </c>
      <c r="C1670" s="2">
        <v>45818</v>
      </c>
      <c r="D1670" s="2">
        <v>45818</v>
      </c>
      <c r="E1670" t="inlineStr">
        <is>
          <t>ด่วน!</t>
        </is>
      </c>
      <c r="F1670" s="3"/>
      <c r="G1670"/>
      <c r="H1670" t="inlineStr">
        <is>
          <t>Pic Posts / Album</t>
        </is>
      </c>
      <c r="I1670" t="inlineStr">
        <is>
          <t>งานประจำวัน</t>
        </is>
      </c>
      <c r="J1670" t="inlineStr">
        <is>
          <t>Done</t>
        </is>
      </c>
      <c r="K1670"/>
      <c r="L1670" s="3" t="str">
        <f>=HYPERLINK("https://www.facebook.com/iPhonemod/posts/pfbid02K4uJKbRPRYjHmgmwViZQGEoeesV54fAgNJ6d2QqbtWS2FhnHutEXTYMJLDZkKXPel", "https://www.facebook.com/iPhonemod/posts/pfbid02K4uJKbRPRYjHmgmwViZQGEoeesV54fAgNJ6d2QqbtWS2FhnHutEXTYMJLDZkKXPel")</f>
        <v>https://www.facebook.com/iPhonemod/posts/pfbid02K4uJKbRPRYjHmgmwViZQGEoeesV54fAgNJ6d2QqbtWS2FhnHutEXTYMJLDZkKXPel</v>
      </c>
      <c r="M1670" t="inlineStr">
        <is>
          <t>1</t>
        </is>
      </c>
      <c r="N1670" t="inlineStr">
        <is>
          <t>Apple</t>
        </is>
      </c>
      <c r="O1670"/>
    </row>
    <row r="1671" ht="12.75" customHeight="1">
      <c r="A1671" t="inlineStr">
        <is>
          <t xml:space="preserve">Apple เปิดตัว ดีไซน์ใหม่แบบ "Liquid Glass" </t>
        </is>
      </c>
      <c r="B1671" t="inlineStr">
        <is>
          <t>Sakura</t>
        </is>
      </c>
      <c r="C1671" s="2">
        <v>45818</v>
      </c>
      <c r="D1671" s="2">
        <v>45818</v>
      </c>
      <c r="E1671" t="inlineStr">
        <is>
          <t>ด่วน!</t>
        </is>
      </c>
      <c r="F1671" s="3" t="str">
        <f>=HYPERLINK("https://www.facebook.com/iPhonemod/posts/pfbid02RPjrbbDTf7yTypW5e628z5tysZZULUcUvQFehfLzTHYaee2qSU5yT1KsMjGdGuZRl", "https://www.facebook.com/iPhonemod/posts/pfbid02RPjrbbDTf7yTypW5e628z5tysZZULUcUvQFehfLzTHYaee2qSU5yT1KsMjGdGuZRl")</f>
        <v>https://www.facebook.com/iPhonemod/posts/pfbid02RPjrbbDTf7yTypW5e628z5tysZZULUcUvQFehfLzTHYaee2qSU5yT1KsMjGdGuZRl</v>
      </c>
      <c r="G1671"/>
      <c r="H1671" t="inlineStr">
        <is>
          <t>Pic Posts / Album, Website</t>
        </is>
      </c>
      <c r="I1671" t="inlineStr">
        <is>
          <t>งานประจำวัน</t>
        </is>
      </c>
      <c r="J1671" t="inlineStr">
        <is>
          <t>Done</t>
        </is>
      </c>
      <c r="K1671"/>
      <c r="L1671" s="3" t="str">
        <f>=HYPERLINK("https://www.iphonemod.net/apple-liquid-glass-new-design-annouced.html", "https://www.iphonemod.net/apple-liquid-glass-new-design-annouced.html")</f>
        <v>https://www.iphonemod.net/apple-liquid-glass-new-design-annouced.html</v>
      </c>
      <c r="M1671" t="inlineStr">
        <is>
          <t>1</t>
        </is>
      </c>
      <c r="N1671" t="inlineStr">
        <is>
          <t>Apple</t>
        </is>
      </c>
      <c r="O1671"/>
    </row>
    <row r="1672" ht="12.75" customHeight="1">
      <c r="A1672" t="inlineStr">
        <is>
          <t>เปิดตัว iOS 26 ใหม่ ดีไซน์ใหม่ Liquid Glass</t>
        </is>
      </c>
      <c r="B1672" t="inlineStr">
        <is>
          <t>Sakura</t>
        </is>
      </c>
      <c r="C1672" s="2">
        <v>45818</v>
      </c>
      <c r="D1672" s="2">
        <v>45818</v>
      </c>
      <c r="E1672" t="inlineStr">
        <is>
          <t>ด่วน!</t>
        </is>
      </c>
      <c r="F1672" s="3" t="str">
        <f>=HYPERLINK("https://www.iphonemod.net/ios-26-annouced.html", "https://www.iphonemod.net/ios-26-annouced.html")</f>
        <v>https://www.iphonemod.net/ios-26-annouced.html</v>
      </c>
      <c r="G1672"/>
      <c r="H1672" t="inlineStr">
        <is>
          <t>Pic Posts / Album, Website</t>
        </is>
      </c>
      <c r="I1672" t="inlineStr">
        <is>
          <t>งานประจำวัน</t>
        </is>
      </c>
      <c r="J1672" t="inlineStr">
        <is>
          <t>Done</t>
        </is>
      </c>
      <c r="K1672"/>
      <c r="L1672" s="3" t="str">
        <f>=HYPERLINK("https://www.facebook.com/iPhonemod/posts/pfbid02HEyASEy6kCQE1HAX8q3RfzhE5LDpFfNEDN9k6kTtfKn62gFveag49GNVTf5gBfdjl", "https://www.facebook.com/iPhonemod/posts/pfbid02HEyASEy6kCQE1HAX8q3RfzhE5LDpFfNEDN9k6kTtfKn62gFveag49GNVTf5gBfdjl")</f>
        <v>https://www.facebook.com/iPhonemod/posts/pfbid02HEyASEy6kCQE1HAX8q3RfzhE5LDpFfNEDN9k6kTtfKn62gFveag49GNVTf5gBfdjl</v>
      </c>
      <c r="M1672" t="inlineStr">
        <is>
          <t>1</t>
        </is>
      </c>
      <c r="N1672" t="inlineStr">
        <is>
          <t>Apple</t>
        </is>
      </c>
      <c r="O1672"/>
    </row>
    <row r="1673" ht="12.75" customHeight="1">
      <c r="A1673" t="inlineStr">
        <is>
          <t xml:space="preserve">เปิดตัว watchOS 26 ดีไซน์ใหม่ Liquid Glass </t>
        </is>
      </c>
      <c r="B1673" t="inlineStr">
        <is>
          <t>Sakura</t>
        </is>
      </c>
      <c r="C1673" s="2">
        <v>45818</v>
      </c>
      <c r="D1673" s="2">
        <v>45818</v>
      </c>
      <c r="E1673" t="inlineStr">
        <is>
          <t>ด่วน!</t>
        </is>
      </c>
      <c r="F1673" s="3"/>
      <c r="G1673"/>
      <c r="H1673" t="inlineStr">
        <is>
          <t>Pic Posts / Album</t>
        </is>
      </c>
      <c r="I1673" t="inlineStr">
        <is>
          <t>งานประจำวัน</t>
        </is>
      </c>
      <c r="J1673" t="inlineStr">
        <is>
          <t>Done</t>
        </is>
      </c>
      <c r="K1673"/>
      <c r="L1673" s="3" t="str">
        <f>=HYPERLINK("https://www.facebook.com/iPhonemod/posts/pfbid0CRB3AEEfhAYcBrRkDJW93Utc5aWS1hnUWEJXK7GBeSLSMHPLaBXojgxD4HQkYMuXl", "https://www.facebook.com/iPhonemod/posts/pfbid0CRB3AEEfhAYcBrRkDJW93Utc5aWS1hnUWEJXK7GBeSLSMHPLaBXojgxD4HQkYMuXl")</f>
        <v>https://www.facebook.com/iPhonemod/posts/pfbid0CRB3AEEfhAYcBrRkDJW93Utc5aWS1hnUWEJXK7GBeSLSMHPLaBXojgxD4HQkYMuXl</v>
      </c>
      <c r="M1673" t="inlineStr">
        <is>
          <t>1</t>
        </is>
      </c>
      <c r="N1673" t="inlineStr">
        <is>
          <t>Apple</t>
        </is>
      </c>
      <c r="O1673"/>
    </row>
    <row r="1674" ht="12.75" customHeight="1">
      <c r="A1674" t="inlineStr">
        <is>
          <t>เปิดตัว tvOS 26 ดีไซน์ใหม่ ปรุงปรุงแอป tvOS</t>
        </is>
      </c>
      <c r="B1674" t="inlineStr">
        <is>
          <t>Sakura</t>
        </is>
      </c>
      <c r="C1674" s="2">
        <v>45818</v>
      </c>
      <c r="D1674" s="2">
        <v>45818</v>
      </c>
      <c r="E1674" t="inlineStr">
        <is>
          <t>ด่วน!</t>
        </is>
      </c>
      <c r="F1674" s="3" t="str">
        <f>=HYPERLINK("https://www.iphonemod.net/tvos-26-announced.html", "https://www.iphonemod.net/tvos-26-announced.html")</f>
        <v>https://www.iphonemod.net/tvos-26-announced.html</v>
      </c>
      <c r="G1674"/>
      <c r="H1674" t="inlineStr">
        <is>
          <t>Pic Posts / Album, Website</t>
        </is>
      </c>
      <c r="I1674" t="inlineStr">
        <is>
          <t>งานประจำวัน</t>
        </is>
      </c>
      <c r="J1674" t="inlineStr">
        <is>
          <t>Done</t>
        </is>
      </c>
      <c r="K1674"/>
      <c r="L1674" s="3" t="str">
        <f>=HYPERLINK("https://www.facebook.com/iPhonemod/posts/pfbid0295eoMswsBwfep8tVELigBjP5KjzDmJTS7hQszEwk3Ur3E3PnhN2aW3mrNRY2yWz6l", "https://www.facebook.com/iPhonemod/posts/pfbid0295eoMswsBwfep8tVELigBjP5KjzDmJTS7hQszEwk3Ur3E3PnhN2aW3mrNRY2yWz6l")</f>
        <v>https://www.facebook.com/iPhonemod/posts/pfbid0295eoMswsBwfep8tVELigBjP5KjzDmJTS7hQszEwk3Ur3E3PnhN2aW3mrNRY2yWz6l</v>
      </c>
      <c r="M1674" t="inlineStr">
        <is>
          <t>1</t>
        </is>
      </c>
      <c r="N1674" t="inlineStr">
        <is>
          <t>Apple</t>
        </is>
      </c>
      <c r="O1674"/>
    </row>
    <row r="1675" ht="12.75" customHeight="1">
      <c r="A1675" t="inlineStr">
        <is>
          <t>เปิดตัว macOS 26 "Tahoe" ผสมผสานดีไซน์ Liquid Glass ใหม่</t>
        </is>
      </c>
      <c r="B1675" t="inlineStr">
        <is>
          <t>Sakura</t>
        </is>
      </c>
      <c r="C1675" s="2">
        <v>45818</v>
      </c>
      <c r="D1675" s="2">
        <v>45818</v>
      </c>
      <c r="E1675" t="inlineStr">
        <is>
          <t>ด่วน!</t>
        </is>
      </c>
      <c r="F1675" s="3" t="str">
        <f>=HYPERLINK("https://www.iphonemod.net/macos-tahoe-26-announed.html", "https://www.iphonemod.net/macos-tahoe-26-announed.html")</f>
        <v>https://www.iphonemod.net/macos-tahoe-26-announed.html</v>
      </c>
      <c r="G1675"/>
      <c r="H1675" t="inlineStr">
        <is>
          <t>Website, Pic Posts / Album</t>
        </is>
      </c>
      <c r="I1675" t="inlineStr">
        <is>
          <t>งานประจำวัน</t>
        </is>
      </c>
      <c r="J1675" t="inlineStr">
        <is>
          <t>Done</t>
        </is>
      </c>
      <c r="K1675"/>
      <c r="L1675" s="3" t="str">
        <f>=HYPERLINK("https://www.facebook.com/iPhonemod/posts/pfbid0q87fZ33FLAyoZqxyXSeQSMiuooKZpDkwmhm5SgEnMQ9Mtj9RSaGW5emBBdQjDvENl", "https://www.facebook.com/iPhonemod/posts/pfbid0q87fZ33FLAyoZqxyXSeQSMiuooKZpDkwmhm5SgEnMQ9Mtj9RSaGW5emBBdQjDvENl")</f>
        <v>https://www.facebook.com/iPhonemod/posts/pfbid0q87fZ33FLAyoZqxyXSeQSMiuooKZpDkwmhm5SgEnMQ9Mtj9RSaGW5emBBdQjDvENl</v>
      </c>
      <c r="M1675" t="inlineStr">
        <is>
          <t>1</t>
        </is>
      </c>
      <c r="N1675" t="inlineStr">
        <is>
          <t>Apple</t>
        </is>
      </c>
      <c r="O1675"/>
    </row>
    <row r="1676" ht="12.75" customHeight="1">
      <c r="A1676" t="inlineStr">
        <is>
          <t>เปิดตัว visionOS 26 รองรับการแสดงผลวิดเจ็ต</t>
        </is>
      </c>
      <c r="B1676" t="inlineStr">
        <is>
          <t>Sakura</t>
        </is>
      </c>
      <c r="C1676" s="2">
        <v>45818</v>
      </c>
      <c r="D1676" s="2">
        <v>45818</v>
      </c>
      <c r="E1676" t="inlineStr">
        <is>
          <t>ด่วน!</t>
        </is>
      </c>
      <c r="F1676" s="3"/>
      <c r="G1676"/>
      <c r="H1676" t="inlineStr">
        <is>
          <t>Pic Posts / Album</t>
        </is>
      </c>
      <c r="I1676" t="inlineStr">
        <is>
          <t>งานประจำวัน</t>
        </is>
      </c>
      <c r="J1676" t="inlineStr">
        <is>
          <t>Done</t>
        </is>
      </c>
      <c r="K1676"/>
      <c r="L1676" s="3" t="str">
        <f>=HYPERLINK("https://www.facebook.com/iPhonemod/posts/pfbid02SHPvfTCrmuCKp7ydF3tfaTnP5Gjcw35ojk4vtxLCjuDMsrSbUnzRJ9WJ5rew1NnHl", "https://www.facebook.com/iPhonemod/posts/pfbid02SHPvfTCrmuCKp7ydF3tfaTnP5Gjcw35ojk4vtxLCjuDMsrSbUnzRJ9WJ5rew1NnHl")</f>
        <v>https://www.facebook.com/iPhonemod/posts/pfbid02SHPvfTCrmuCKp7ydF3tfaTnP5Gjcw35ojk4vtxLCjuDMsrSbUnzRJ9WJ5rew1NnHl</v>
      </c>
      <c r="M1676" t="inlineStr">
        <is>
          <t>1</t>
        </is>
      </c>
      <c r="N1676" t="inlineStr">
        <is>
          <t>Apple</t>
        </is>
      </c>
      <c r="O1676"/>
    </row>
    <row r="1677" ht="12.75" customHeight="1">
      <c r="A1677" t="inlineStr">
        <is>
          <t xml:space="preserve">เปิดตัว iPadOS 26  ประสบการณ์ใหม่เหมือน Mac </t>
        </is>
      </c>
      <c r="B1677" t="inlineStr">
        <is>
          <t>Sakura</t>
        </is>
      </c>
      <c r="C1677" s="2">
        <v>45818</v>
      </c>
      <c r="D1677" s="2">
        <v>45818</v>
      </c>
      <c r="E1677" t="inlineStr">
        <is>
          <t>ด่วน!</t>
        </is>
      </c>
      <c r="F1677" s="3"/>
      <c r="G1677"/>
      <c r="H1677" t="inlineStr">
        <is>
          <t>Pic Posts / Album</t>
        </is>
      </c>
      <c r="I1677" t="inlineStr">
        <is>
          <t>งานประจำวัน</t>
        </is>
      </c>
      <c r="J1677" t="inlineStr">
        <is>
          <t>Done</t>
        </is>
      </c>
      <c r="K1677"/>
      <c r="L1677" s="3" t="str">
        <f>=HYPERLINK("https://www.facebook.com/iPhonemod/posts/pfbid037J1bcKoajj5r2CGFCSC99iZVeeW38uY9KDtKG3tCWgn2xFdYhMWV7q4VUkD4rCRpl", "https://www.facebook.com/iPhonemod/posts/pfbid037J1bcKoajj5r2CGFCSC99iZVeeW38uY9KDtKG3tCWgn2xFdYhMWV7q4VUkD4rCRpl")</f>
        <v>https://www.facebook.com/iPhonemod/posts/pfbid037J1bcKoajj5r2CGFCSC99iZVeeW38uY9KDtKG3tCWgn2xFdYhMWV7q4VUkD4rCRpl</v>
      </c>
      <c r="M1677" t="inlineStr">
        <is>
          <t>1</t>
        </is>
      </c>
      <c r="N1677" t="inlineStr">
        <is>
          <t>Apple</t>
        </is>
      </c>
      <c r="O1677"/>
    </row>
    <row r="1678" ht="12.75" customHeight="1">
      <c r="A1678" t="inlineStr">
        <is>
          <t>macOS Tahoe 26 เปลี่ยนโฉม Launchpad ให้กลายเป็น Applications คล้าย App Library</t>
        </is>
      </c>
      <c r="B1678" t="inlineStr">
        <is>
          <t>Sakura</t>
        </is>
      </c>
      <c r="C1678" s="2">
        <v>45818</v>
      </c>
      <c r="D1678" s="2">
        <v>45818</v>
      </c>
      <c r="E1678" t="inlineStr">
        <is>
          <t>ปกติ</t>
        </is>
      </c>
      <c r="F1678" s="3"/>
      <c r="G1678"/>
      <c r="H1678" t="inlineStr">
        <is>
          <t>Pic Posts / Album</t>
        </is>
      </c>
      <c r="I1678" t="inlineStr">
        <is>
          <t>งานประจำวัน</t>
        </is>
      </c>
      <c r="J1678" t="inlineStr">
        <is>
          <t>Done</t>
        </is>
      </c>
      <c r="K1678"/>
      <c r="L1678" s="3" t="str">
        <f>=HYPERLINK("https://www.iphonemod.net/macos-tahoe-26-change-launchpad-to-applications.html", "https://www.iphonemod.net/macos-tahoe-26-change-launchpad-to-applications.html")</f>
        <v>https://www.iphonemod.net/macos-tahoe-26-change-launchpad-to-applications.html</v>
      </c>
      <c r="M1678" t="inlineStr">
        <is>
          <t>1</t>
        </is>
      </c>
      <c r="N1678" t="inlineStr">
        <is>
          <t>Apple</t>
        </is>
      </c>
      <c r="O1678"/>
    </row>
    <row r="1679" ht="12.75" customHeight="1">
      <c r="A1679" t="inlineStr">
        <is>
          <t>iOS 26 เพิ่มสามารถของบอร์ดดิ้งพาส (Boarding Pass) ให้ติดตามเที่ยวบินแบบเรียลไทม์และข้อมูลการเดินทางในแอป Wallet</t>
        </is>
      </c>
      <c r="B1679" t="inlineStr">
        <is>
          <t>Sakura</t>
        </is>
      </c>
      <c r="C1679" s="2">
        <v>45818</v>
      </c>
      <c r="D1679" s="2">
        <v>45818</v>
      </c>
      <c r="E1679" t="inlineStr">
        <is>
          <t>ปกติ</t>
        </is>
      </c>
      <c r="F1679" s="3" t="str">
        <f>=HYPERLINK("https://www.iphonemod.net/ios-26-boarding-pass-in-wallet-app.html", "https://www.iphonemod.net/ios-26-boarding-pass-in-wallet-app.html")</f>
        <v>https://www.iphonemod.net/ios-26-boarding-pass-in-wallet-app.html</v>
      </c>
      <c r="G1679"/>
      <c r="H1679" t="inlineStr">
        <is>
          <t>Website, Pic Posts / Album</t>
        </is>
      </c>
      <c r="I1679" t="inlineStr">
        <is>
          <t>งานประจำวัน</t>
        </is>
      </c>
      <c r="J1679" t="inlineStr">
        <is>
          <t>Done</t>
        </is>
      </c>
      <c r="K1679"/>
      <c r="L1679" s="3" t="str">
        <f>=HYPERLINK("https://www.facebook.com/iPhonemod/posts/pfbid02SFKaPbs98vobLHjFSLLvai5BBgDcQJhiFs7x4RS3J7xddD4fzdQKFxxWMrHtqNQWl", "https://www.facebook.com/iPhonemod/posts/pfbid02SFKaPbs98vobLHjFSLLvai5BBgDcQJhiFs7x4RS3J7xddD4fzdQKFxxWMrHtqNQWl")</f>
        <v>https://www.facebook.com/iPhonemod/posts/pfbid02SFKaPbs98vobLHjFSLLvai5BBgDcQJhiFs7x4RS3J7xddD4fzdQKFxxWMrHtqNQWl</v>
      </c>
      <c r="M1679" t="inlineStr">
        <is>
          <t>1</t>
        </is>
      </c>
      <c r="N1679" t="inlineStr">
        <is>
          <t>Apple</t>
        </is>
      </c>
      <c r="O1679"/>
    </row>
    <row r="1680" ht="12.75" customHeight="1">
      <c r="A1680" t="inlineStr">
        <is>
          <t>Live Translation แปลภาษาสด ช่วยให้การสื่อสารต่างภาษาง่ายขึ้น ใน iOS 26, iPadOS 26, macOS 26 และ watchOS 26</t>
        </is>
      </c>
      <c r="B1680" t="inlineStr">
        <is>
          <t>Sakura</t>
        </is>
      </c>
      <c r="C1680" s="2">
        <v>45818</v>
      </c>
      <c r="D1680" s="2">
        <v>45818</v>
      </c>
      <c r="E1680" t="inlineStr">
        <is>
          <t>ปกติ</t>
        </is>
      </c>
      <c r="F1680" s="3" t="str">
        <f>=HYPERLINK("https://www.iphonemod.net/live-translation-message-phone-facetime-ios-26.html", "https://www.iphonemod.net/live-translation-message-phone-facetime-ios-26.html")</f>
        <v>https://www.iphonemod.net/live-translation-message-phone-facetime-ios-26.html</v>
      </c>
      <c r="G1680"/>
      <c r="H1680" t="inlineStr">
        <is>
          <t>Pic Posts / Album, Website</t>
        </is>
      </c>
      <c r="I1680" t="inlineStr">
        <is>
          <t>งานประจำวัน</t>
        </is>
      </c>
      <c r="J1680" t="inlineStr">
        <is>
          <t>Done</t>
        </is>
      </c>
      <c r="K1680"/>
      <c r="L1680" s="3" t="str">
        <f>=HYPERLINK("https://www.facebook.com/iPhonemod/posts/pfbid02o5qf5684dj84DogS9Cx1tCR6PnnzdPjxdfmb5Z4JTWQQeprnWyohFHphRGbgTaXNl", "https://www.facebook.com/iPhonemod/posts/pfbid02o5qf5684dj84DogS9Cx1tCR6PnnzdPjxdfmb5Z4JTWQQeprnWyohFHphRGbgTaXNl")</f>
        <v>https://www.facebook.com/iPhonemod/posts/pfbid02o5qf5684dj84DogS9Cx1tCR6PnnzdPjxdfmb5Z4JTWQQeprnWyohFHphRGbgTaXNl</v>
      </c>
      <c r="M1680" t="inlineStr">
        <is>
          <t>1</t>
        </is>
      </c>
      <c r="N1680" t="inlineStr">
        <is>
          <t>Apple</t>
        </is>
      </c>
      <c r="O1680"/>
    </row>
    <row r="1681" ht="12.75" customHeight="1">
      <c r="A1681" t="inlineStr">
        <is>
          <t>iOS 26 แอปโทรศัพท์ (Phone) ปรับดีไซน์ใหม่ พร้อมฟีเจอร์ Call Screening และ Hold Assist ช่วยให้การโทรสะดวกขึ้น</t>
        </is>
      </c>
      <c r="B1681" t="inlineStr">
        <is>
          <t>Sakura</t>
        </is>
      </c>
      <c r="C1681" s="2">
        <v>45818</v>
      </c>
      <c r="D1681" s="2">
        <v>45818</v>
      </c>
      <c r="E1681" t="inlineStr">
        <is>
          <t>ปกติ</t>
        </is>
      </c>
      <c r="F1681" s="3" t="str">
        <f>=HYPERLINK("https://www.iphonemod.net/phone-call-screening-hold-assist-ios-26.html", "https://www.iphonemod.net/phone-call-screening-hold-assist-ios-26.html")</f>
        <v>https://www.iphonemod.net/phone-call-screening-hold-assist-ios-26.html</v>
      </c>
      <c r="G1681"/>
      <c r="H1681" t="inlineStr">
        <is>
          <t>Pic Posts / Album, Website</t>
        </is>
      </c>
      <c r="I1681" t="inlineStr">
        <is>
          <t>งานประจำวัน</t>
        </is>
      </c>
      <c r="J1681" t="inlineStr">
        <is>
          <t>Done</t>
        </is>
      </c>
      <c r="K1681"/>
      <c r="L1681" s="3" t="str">
        <f>=HYPERLINK("https://www.facebook.com/iPhonemod/posts/pfbid02TkoG1wQcm7hL1ALQjDbBdQ2raaL7frjfAin7nJR94iEKfwiTk2F9J7W8tBi4rqCMl", "https://www.facebook.com/iPhonemod/posts/pfbid02TkoG1wQcm7hL1ALQjDbBdQ2raaL7frjfAin7nJR94iEKfwiTk2F9J7W8tBi4rqCMl")</f>
        <v>https://www.facebook.com/iPhonemod/posts/pfbid02TkoG1wQcm7hL1ALQjDbBdQ2raaL7frjfAin7nJR94iEKfwiTk2F9J7W8tBi4rqCMl</v>
      </c>
      <c r="M1681" t="inlineStr">
        <is>
          <t>1</t>
        </is>
      </c>
      <c r="N1681" t="inlineStr">
        <is>
          <t>Apple</t>
        </is>
      </c>
      <c r="O1681"/>
    </row>
    <row r="1682" ht="12.75" customHeight="1">
      <c r="A1682" t="inlineStr">
        <is>
          <t>อุปกรณ์รองรับ iOS 19/26</t>
        </is>
      </c>
      <c r="B1682" t="inlineStr">
        <is>
          <t>Nattida Suriyodara</t>
        </is>
      </c>
      <c r="C1682" s="2">
        <v>45817</v>
      </c>
      <c r="D1682" s="2"/>
      <c r="E1682" t="inlineStr">
        <is>
          <t xml:space="preserve">ด่วนมาก! </t>
        </is>
      </c>
      <c r="F1682" s="3"/>
      <c r="G1682"/>
      <c r="H1682" t="inlineStr">
        <is>
          <t>YouTube, Shorts</t>
        </is>
      </c>
      <c r="I1682" t="inlineStr">
        <is>
          <t>งานประจำวัน</t>
        </is>
      </c>
      <c r="J1682" t="inlineStr">
        <is>
          <t>Done</t>
        </is>
      </c>
      <c r="K1682"/>
      <c r="L1682" s="3"/>
      <c r="M1682" t="inlineStr">
        <is>
          <t>1</t>
        </is>
      </c>
      <c r="N1682" t="inlineStr">
        <is>
          <t>Apple</t>
        </is>
      </c>
      <c r="O1682"/>
    </row>
    <row r="1683" ht="12.75" customHeight="1">
      <c r="A1683" t="inlineStr">
        <is>
          <t>Samsung อาจไม่มีการอัปเกรดกล้อง จนกว่าจะถึง Galaxy S28 Series</t>
        </is>
      </c>
      <c r="B1683" t="inlineStr">
        <is>
          <t>Saktaphat Kordjan</t>
        </is>
      </c>
      <c r="C1683" s="2">
        <v>45817</v>
      </c>
      <c r="D1683" s="2"/>
      <c r="E1683" t="inlineStr">
        <is>
          <t>ปกติ</t>
        </is>
      </c>
      <c r="F1683" s="3" t="str">
        <f>=HYPERLINK("https://www.sammobile.com/news/samsung-galaxy-s28-camera-hardware-upgrades-not-galaxy-s26/", "https://www.sammobile.com/news/samsung-galaxy-s28-camera-hardware-upgrades-not-galaxy-s26/")</f>
        <v>https://www.sammobile.com/news/samsung-galaxy-s28-camera-hardware-upgrades-not-galaxy-s26/</v>
      </c>
      <c r="G1683"/>
      <c r="H1683" t="inlineStr">
        <is>
          <t>Website</t>
        </is>
      </c>
      <c r="I1683" t="inlineStr">
        <is>
          <t>งานประจำวัน</t>
        </is>
      </c>
      <c r="J1683" t="inlineStr">
        <is>
          <t>Done</t>
        </is>
      </c>
      <c r="K1683"/>
      <c r="L1683" s="3"/>
      <c r="M1683" t="inlineStr">
        <is>
          <t>1</t>
        </is>
      </c>
      <c r="N1683" t="inlineStr">
        <is>
          <t>Android</t>
        </is>
      </c>
      <c r="O1683"/>
    </row>
    <row r="1684" ht="12.75" customHeight="1">
      <c r="A1684" t="inlineStr">
        <is>
          <t>Vivo X Fold5 จะมีการกันน้ำกันฝุ่น ที่ไม่เคยมีมาก่อนในสมาร์ตโฟนจอพับ</t>
        </is>
      </c>
      <c r="B1684" t="inlineStr">
        <is>
          <t>Saktaphat Kordjan</t>
        </is>
      </c>
      <c r="C1684" s="2">
        <v>45817</v>
      </c>
      <c r="D1684" s="2"/>
      <c r="E1684" t="inlineStr">
        <is>
          <t>ปกติ</t>
        </is>
      </c>
      <c r="F1684" s="3" t="str">
        <f>=HYPERLINK("https://www.gsmarena.com/vivo_x_fold5_will_have_unprecedented_dust_and_water_resistance_for_a_foldable-news-68152.php", "https://www.gsmarena.com/vivo_x_fold5_will_have_unprecedented_dust_and_water_resistance_for_a_foldable-news-68152.php")</f>
        <v>https://www.gsmarena.com/vivo_x_fold5_will_have_unprecedented_dust_and_water_resistance_for_a_foldable-news-68152.php</v>
      </c>
      <c r="G1684"/>
      <c r="H1684" t="inlineStr">
        <is>
          <t>Website</t>
        </is>
      </c>
      <c r="I1684" t="inlineStr">
        <is>
          <t>งานประจำวัน</t>
        </is>
      </c>
      <c r="J1684" t="inlineStr">
        <is>
          <t>Done</t>
        </is>
      </c>
      <c r="K1684"/>
      <c r="L1684" s="3"/>
      <c r="M1684" t="inlineStr">
        <is>
          <t>1</t>
        </is>
      </c>
      <c r="N1684" t="inlineStr">
        <is>
          <t>Android</t>
        </is>
      </c>
      <c r="O1684"/>
    </row>
    <row r="1685" ht="12.75" customHeight="1">
      <c r="A1685" t="inlineStr">
        <is>
          <t>AIS E-watse</t>
        </is>
      </c>
      <c r="B1685" t="inlineStr">
        <is>
          <t>Thitirath Kinaret</t>
        </is>
      </c>
      <c r="C1685" s="2">
        <v>45817</v>
      </c>
      <c r="D1685" s="2">
        <v>45817</v>
      </c>
      <c r="E1685" t="inlineStr">
        <is>
          <t>ปกติ</t>
        </is>
      </c>
      <c r="F1685" s="3" t="str">
        <f>=HYPERLINK("https://www.facebook.com/iPhonemod/posts/pfbid02baTKaQjpApSQKBFXfA8AwyEdHx6gvfS1mUNCgLcViJ4FKgPxFofG98sCSc4hMZvSl", "https://www.facebook.com/iPhonemod/posts/pfbid02baTKaQjpApSQKBFXfA8AwyEdHx6gvfS1mUNCgLcViJ4FKgPxFofG98sCSc4hMZvSl")</f>
        <v>https://www.facebook.com/iPhonemod/posts/pfbid02baTKaQjpApSQKBFXfA8AwyEdHx6gvfS1mUNCgLcViJ4FKgPxFofG98sCSc4hMZvSl</v>
      </c>
      <c r="G1685"/>
      <c r="H1685" t="inlineStr">
        <is>
          <t>Pic Posts / Album</t>
        </is>
      </c>
      <c r="I1685" t="inlineStr">
        <is>
          <t>งานลูกค้า</t>
        </is>
      </c>
      <c r="J1685" t="inlineStr">
        <is>
          <t>Done</t>
        </is>
      </c>
      <c r="K1685"/>
      <c r="L1685" s="3"/>
      <c r="M1685" t="inlineStr">
        <is>
          <t>1</t>
        </is>
      </c>
      <c r="N1685" t="inlineStr">
        <is>
          <t>PR</t>
        </is>
      </c>
      <c r="O1685"/>
    </row>
    <row r="1686" ht="12.75" customHeight="1">
      <c r="A1686" t="inlineStr">
        <is>
          <t>Microsoft และ ASUS  เปิดตัว  ROG Xbox Ally</t>
        </is>
      </c>
      <c r="B1686" t="inlineStr">
        <is>
          <t>Saktaphat Kordjan</t>
        </is>
      </c>
      <c r="C1686" s="2">
        <v>45817</v>
      </c>
      <c r="D1686" s="2"/>
      <c r="E1686" t="inlineStr">
        <is>
          <t>ปกติ</t>
        </is>
      </c>
      <c r="F1686" s="3" t="str">
        <f>=HYPERLINK("https://www.gsmarena.com/asus_rog_xbox_ally_handhelds_announced-news-68162.php", "https://www.gsmarena.com/asus_rog_xbox_ally_handhelds_announced-news-68162.php")</f>
        <v>https://www.gsmarena.com/asus_rog_xbox_ally_handhelds_announced-news-68162.php</v>
      </c>
      <c r="G1686"/>
      <c r="H1686" t="inlineStr">
        <is>
          <t>Website</t>
        </is>
      </c>
      <c r="I1686" t="inlineStr">
        <is>
          <t>งานประจำวัน</t>
        </is>
      </c>
      <c r="J1686" t="inlineStr">
        <is>
          <t>Done</t>
        </is>
      </c>
      <c r="K1686"/>
      <c r="L1686" s="3"/>
      <c r="M1686" t="inlineStr">
        <is>
          <t>1</t>
        </is>
      </c>
      <c r="N1686" t="inlineStr">
        <is>
          <t>Tech</t>
        </is>
      </c>
      <c r="O1686"/>
    </row>
    <row r="1687" ht="12.75" customHeight="1">
      <c r="A1687" t="inlineStr">
        <is>
          <t>Huawei ปล่อยทีเซอร์ Pura 80 Series</t>
        </is>
      </c>
      <c r="B1687" t="inlineStr">
        <is>
          <t>Saktaphat Kordjan</t>
        </is>
      </c>
      <c r="C1687" s="2">
        <v>45817</v>
      </c>
      <c r="D1687" s="2"/>
      <c r="E1687" t="inlineStr">
        <is>
          <t>ปกติ</t>
        </is>
      </c>
      <c r="F1687" s="3" t="str">
        <f>=HYPERLINK("https://www.gsmarena.com/huawei_pura_80_teasers_hint_at_updated_periscope_lens_-news-68137.php", "https://www.gsmarena.com/huawei_pura_80_teasers_hint_at_updated_periscope_lens_-news-68137.php")</f>
        <v>https://www.gsmarena.com/huawei_pura_80_teasers_hint_at_updated_periscope_lens_-news-68137.php</v>
      </c>
      <c r="G1687"/>
      <c r="H1687" t="inlineStr">
        <is>
          <t>Website</t>
        </is>
      </c>
      <c r="I1687" t="inlineStr">
        <is>
          <t>งานประจำวัน</t>
        </is>
      </c>
      <c r="J1687" t="inlineStr">
        <is>
          <t>Done</t>
        </is>
      </c>
      <c r="K1687"/>
      <c r="L1687" s="3"/>
      <c r="M1687" t="inlineStr">
        <is>
          <t>1</t>
        </is>
      </c>
      <c r="N1687" t="inlineStr">
        <is>
          <t>Android</t>
        </is>
      </c>
      <c r="O1687"/>
    </row>
    <row r="1688" ht="12.75" customHeight="1">
      <c r="A1688" t="inlineStr">
        <is>
          <t>Mazda EZ-60 กวาดยอดจองทะลุ 26,000 คัน พร้อมอวดโฉม SUV ขนาดกลางในงาน 2025 Chongqing Auto Show</t>
        </is>
      </c>
      <c r="B1688" t="inlineStr">
        <is>
          <t>Nuttanon</t>
        </is>
      </c>
      <c r="C1688" s="2">
        <v>45817</v>
      </c>
      <c r="D1688" s="2">
        <v>45817</v>
      </c>
      <c r="E1688" t="inlineStr">
        <is>
          <t>ปกติ</t>
        </is>
      </c>
      <c r="F1688" s="3"/>
      <c r="G1688"/>
      <c r="H1688" t="inlineStr">
        <is>
          <t>Website</t>
        </is>
      </c>
      <c r="I1688" t="inlineStr">
        <is>
          <t>งานประจำวัน</t>
        </is>
      </c>
      <c r="J1688" t="inlineStr">
        <is>
          <t>Done</t>
        </is>
      </c>
      <c r="K1688"/>
      <c r="L1688" s="3" t="str">
        <f>=HYPERLINK("https://ev.iphonemod.net/mazda-ez-60-in-china-surpasses-26000-pre-orders/", "https://ev.iphonemod.net/mazda-ez-60-in-china-surpasses-26000-pre-orders/")</f>
        <v>https://ev.iphonemod.net/mazda-ez-60-in-china-surpasses-26000-pre-orders/</v>
      </c>
      <c r="M1688" t="inlineStr">
        <is>
          <t>1</t>
        </is>
      </c>
      <c r="N1688" t="inlineStr">
        <is>
          <t>EV</t>
        </is>
      </c>
      <c r="O1688"/>
    </row>
    <row r="1689" ht="12.75" customHeight="1">
      <c r="A1689" t="inlineStr">
        <is>
          <t>Alef Model A รถยนต์ไฟฟ้าบินได้ รุ่นแรกของโลกที่นำวิ่งบนถนนได้อย่างถูกกฎหมาย เตรียมเข้าสู่ยุคใหม่ปี 2026</t>
        </is>
      </c>
      <c r="B1689" t="inlineStr">
        <is>
          <t>Nuttanon</t>
        </is>
      </c>
      <c r="C1689" s="2">
        <v>45817</v>
      </c>
      <c r="D1689" s="2">
        <v>45817</v>
      </c>
      <c r="E1689" t="inlineStr">
        <is>
          <t>ปกติ</t>
        </is>
      </c>
      <c r="F1689" s="3"/>
      <c r="G1689"/>
      <c r="H1689" t="inlineStr">
        <is>
          <t>Website</t>
        </is>
      </c>
      <c r="I1689" t="inlineStr">
        <is>
          <t>งานประจำวัน</t>
        </is>
      </c>
      <c r="J1689" t="inlineStr">
        <is>
          <t>Done</t>
        </is>
      </c>
      <c r="K1689"/>
      <c r="L1689" s="3" t="str">
        <f>=HYPERLINK("https://ev.iphonemod.net/alef-model-a-ev-flying-car-2025/", "https://ev.iphonemod.net/alef-model-a-ev-flying-car-2025/")</f>
        <v>https://ev.iphonemod.net/alef-model-a-ev-flying-car-2025/</v>
      </c>
      <c r="M1689" t="inlineStr">
        <is>
          <t>1</t>
        </is>
      </c>
      <c r="N1689" t="inlineStr">
        <is>
          <t>EV</t>
        </is>
      </c>
      <c r="O1689"/>
    </row>
    <row r="1690" ht="12.75" customHeight="1">
      <c r="A1690" t="inlineStr">
        <is>
          <t>XPENG G7 เตรียมเปิดตัว 11 มิ.ย.นี้ ขับขี่อัจฉริยะระดับ L3 และเทคโนโลยี HUD ร่วมพัฒนาโดย Huawei</t>
        </is>
      </c>
      <c r="B1690" t="inlineStr">
        <is>
          <t>Nuttanon</t>
        </is>
      </c>
      <c r="C1690" s="2">
        <v>45817</v>
      </c>
      <c r="D1690" s="2">
        <v>45817</v>
      </c>
      <c r="E1690" t="inlineStr">
        <is>
          <t>ปกติ</t>
        </is>
      </c>
      <c r="F1690" s="3"/>
      <c r="G1690"/>
      <c r="H1690" t="inlineStr">
        <is>
          <t>Website</t>
        </is>
      </c>
      <c r="I1690" t="inlineStr">
        <is>
          <t>งานประจำวัน</t>
        </is>
      </c>
      <c r="J1690" t="inlineStr">
        <is>
          <t>Done</t>
        </is>
      </c>
      <c r="K1690"/>
      <c r="L1690" s="3" t="str">
        <f>=HYPERLINK("https://ev.iphonemod.net/xpeng-g7-2025-launch-date/", "https://ev.iphonemod.net/xpeng-g7-2025-launch-date/")</f>
        <v>https://ev.iphonemod.net/xpeng-g7-2025-launch-date/</v>
      </c>
      <c r="M1690" t="inlineStr">
        <is>
          <t>1</t>
        </is>
      </c>
      <c r="N1690" t="inlineStr">
        <is>
          <t>EV</t>
        </is>
      </c>
      <c r="O1690"/>
    </row>
    <row r="1691" ht="12.75" customHeight="1">
      <c r="A1691" t="inlineStr">
        <is>
          <t>Hyundai แท็กทีมอาร์ติสสุดฮอต “ปั๋น Riety” ครีเอตผลงาน “Love All Around” ต้อนรับ Pride Month เพื่อฉลองทุกความรักที่ขับเคลื่อนโลก</t>
        </is>
      </c>
      <c r="B1691" t="inlineStr">
        <is>
          <t>Nuttanon</t>
        </is>
      </c>
      <c r="C1691" s="2">
        <v>45817</v>
      </c>
      <c r="D1691" s="2">
        <v>45817</v>
      </c>
      <c r="E1691" t="inlineStr">
        <is>
          <t>ปกติ</t>
        </is>
      </c>
      <c r="F1691" s="3"/>
      <c r="G1691"/>
      <c r="H1691" t="inlineStr">
        <is>
          <t>Website</t>
        </is>
      </c>
      <c r="I1691" t="inlineStr">
        <is>
          <t>งานประจำวัน</t>
        </is>
      </c>
      <c r="J1691" t="inlineStr">
        <is>
          <t>Done</t>
        </is>
      </c>
      <c r="K1691"/>
      <c r="L1691" s="3" t="str">
        <f>=HYPERLINK("https://ev.iphonemod.net/hyundai-x-riety-love-all-around-prid-month/", "https://ev.iphonemod.net/hyundai-x-riety-love-all-around-prid-month/")</f>
        <v>https://ev.iphonemod.net/hyundai-x-riety-love-all-around-prid-month/</v>
      </c>
      <c r="M1691" t="inlineStr">
        <is>
          <t>1</t>
        </is>
      </c>
      <c r="N1691" t="inlineStr">
        <is>
          <t>EV, PR</t>
        </is>
      </c>
      <c r="O1691"/>
    </row>
    <row r="1692" ht="12.75" customHeight="1">
      <c r="A1692" t="inlineStr">
        <is>
          <t>Alef Model A รถบินได้ด้วยไฟฟ้า บินไกล 177 กม.</t>
        </is>
      </c>
      <c r="B1692" t="inlineStr">
        <is>
          <t>Nuttanon</t>
        </is>
      </c>
      <c r="C1692" s="2">
        <v>45817</v>
      </c>
      <c r="D1692" s="2">
        <v>45817</v>
      </c>
      <c r="E1692" t="inlineStr">
        <is>
          <t>ปกติ</t>
        </is>
      </c>
      <c r="F1692" s="3"/>
      <c r="G1692"/>
      <c r="H1692" t="inlineStr">
        <is>
          <t>Shorts</t>
        </is>
      </c>
      <c r="I1692" t="inlineStr">
        <is>
          <t>งานประจำวัน</t>
        </is>
      </c>
      <c r="J1692" t="inlineStr">
        <is>
          <t>Done</t>
        </is>
      </c>
      <c r="K1692"/>
      <c r="L1692" s="3" t="str">
        <f>=HYPERLINK("https://www.facebook.com/reel/1207625797777118", "https://www.facebook.com/reel/1207625797777118")</f>
        <v>https://www.facebook.com/reel/1207625797777118</v>
      </c>
      <c r="M1692" t="inlineStr">
        <is>
          <t>1</t>
        </is>
      </c>
      <c r="N1692" t="inlineStr">
        <is>
          <t>EV</t>
        </is>
      </c>
      <c r="O1692"/>
    </row>
    <row r="1693" ht="12.75" customHeight="1">
      <c r="A1693" t="inlineStr">
        <is>
          <t>งาน Event Marshall KILBURN III</t>
        </is>
      </c>
      <c r="B1693" t="inlineStr">
        <is>
          <t>Thitirath Kinaret,Pun</t>
        </is>
      </c>
      <c r="C1693" s="2">
        <v>45816</v>
      </c>
      <c r="D1693" s="2">
        <v>45816</v>
      </c>
      <c r="E1693" t="inlineStr">
        <is>
          <t>ปกติ</t>
        </is>
      </c>
      <c r="F1693" s="3"/>
      <c r="G1693" t="inlineStr">
        <is>
          <t>TH_Marshall ENTER THE STAGE_Media Invitation Letter.pdf</t>
        </is>
      </c>
      <c r="H1693" t="inlineStr">
        <is>
          <t>Pic Posts / Album, Event</t>
        </is>
      </c>
      <c r="I1693" t="inlineStr">
        <is>
          <t>งานลูกค้า</t>
        </is>
      </c>
      <c r="J1693" t="inlineStr">
        <is>
          <t>Done</t>
        </is>
      </c>
      <c r="K1693"/>
      <c r="L1693" s="3" t="str">
        <f>=HYPERLINK("https://www.facebook.com/iPhonemod/posts/pfbid02qpxRCxw6ETZQC5GDMegp2qutdKfjEPc9ziHgopEbf7K3s9ichYdEhMq6tFRoPJEYl", "https://www.facebook.com/iPhonemod/posts/pfbid02qpxRCxw6ETZQC5GDMegp2qutdKfjEPc9ziHgopEbf7K3s9ichYdEhMq6tFRoPJEYl")</f>
        <v>https://www.facebook.com/iPhonemod/posts/pfbid02qpxRCxw6ETZQC5GDMegp2qutdKfjEPc9ziHgopEbf7K3s9ichYdEhMq6tFRoPJEYl</v>
      </c>
      <c r="M1693" t="inlineStr">
        <is>
          <t>1</t>
        </is>
      </c>
      <c r="N1693" t="inlineStr">
        <is>
          <t>Tech</t>
        </is>
      </c>
      <c r="O1693"/>
    </row>
    <row r="1694" ht="12.75" customHeight="1">
      <c r="A1694" t="inlineStr">
        <is>
          <t>คาดการณ์สิ่งใหม่ ที่คาดว่าจะได้เห็นในงาน WWDC 2025</t>
        </is>
      </c>
      <c r="B1694" t="inlineStr">
        <is>
          <t>Sakura</t>
        </is>
      </c>
      <c r="C1694" s="2">
        <v>45815</v>
      </c>
      <c r="D1694" s="2">
        <v>45815</v>
      </c>
      <c r="E1694" t="inlineStr">
        <is>
          <t>ปกติ</t>
        </is>
      </c>
      <c r="F1694" s="3" t="str">
        <f>=HYPERLINK("https://www.facebook.com/iPhonemod/posts/pfbid02x4LQxEq35kSeGkCb2UmrUiMcZ7uasQ7L7jrSq389UCcM13sypdFT6FXqebYE8z77l", "https://www.facebook.com/iPhonemod/posts/pfbid02x4LQxEq35kSeGkCb2UmrUiMcZ7uasQ7L7jrSq389UCcM13sypdFT6FXqebYE8z77l")</f>
        <v>https://www.facebook.com/iPhonemod/posts/pfbid02x4LQxEq35kSeGkCb2UmrUiMcZ7uasQ7L7jrSq389UCcM13sypdFT6FXqebYE8z77l</v>
      </c>
      <c r="G1694"/>
      <c r="H1694" t="inlineStr">
        <is>
          <t>Website, Pic Posts / Album</t>
        </is>
      </c>
      <c r="I1694" t="inlineStr">
        <is>
          <t>งานประจำวัน</t>
        </is>
      </c>
      <c r="J1694" t="inlineStr">
        <is>
          <t>Done</t>
        </is>
      </c>
      <c r="K1694"/>
      <c r="L1694" s="3" t="str">
        <f>=HYPERLINK("https://www.iphonemod.net/whats-expected-wwdc-2025.html?", "https://www.iphonemod.net/whats-expected-wwdc-2025.html?")</f>
        <v>https://www.iphonemod.net/whats-expected-wwdc-2025.html?</v>
      </c>
      <c r="M1694" t="inlineStr">
        <is>
          <t>1</t>
        </is>
      </c>
      <c r="N1694" t="inlineStr">
        <is>
          <t>Apple</t>
        </is>
      </c>
      <c r="O1694"/>
    </row>
    <row r="1695" ht="12.75" customHeight="1">
      <c r="A1695" t="inlineStr">
        <is>
          <t>App Store ทั่วโลกพานักพัฒนาทะยานสู่จุดสูงสุดใหม่ด้วยการสนับสนุนยอดขายและรายได้จากการเรียกเก็บเงินมูลค่ารวม 1.3 ล้านล้านดอลลาร์ในปี 2024</t>
        </is>
      </c>
      <c r="B1695" t="inlineStr">
        <is>
          <t>Nattida Suriyodara</t>
        </is>
      </c>
      <c r="C1695" s="2">
        <v>45814</v>
      </c>
      <c r="D1695" s="2">
        <v>45814</v>
      </c>
      <c r="E1695" t="inlineStr">
        <is>
          <t>ปกติ</t>
        </is>
      </c>
      <c r="F1695" s="3" t="str">
        <f>=HYPERLINK("https://www.apple.com/th/newsroom/2025/06/global-app-store-helps-developers-reach-new-heights/", "https://www.apple.com/th/newsroom/2025/06/global-app-store-helps-developers-reach-new-heights/")</f>
        <v>https://www.apple.com/th/newsroom/2025/06/global-app-store-helps-developers-reach-new-heights/</v>
      </c>
      <c r="G1695"/>
      <c r="H1695" t="inlineStr">
        <is>
          <t>Website</t>
        </is>
      </c>
      <c r="I1695" t="inlineStr">
        <is>
          <t>งานลูกค้า</t>
        </is>
      </c>
      <c r="J1695" t="inlineStr">
        <is>
          <t>Done</t>
        </is>
      </c>
      <c r="K1695"/>
      <c r="L1695" s="3"/>
      <c r="M1695" t="inlineStr">
        <is>
          <t>1</t>
        </is>
      </c>
      <c r="N1695" t="inlineStr">
        <is>
          <t>Apple</t>
        </is>
      </c>
      <c r="O1695"/>
    </row>
    <row r="1696" ht="12.75" customHeight="1">
      <c r="A1696" t="inlineStr">
        <is>
          <t xml:space="preserve">นับถอยงาน WWDC25 </t>
        </is>
      </c>
      <c r="B1696" t="inlineStr">
        <is>
          <t>Nattida Suriyodara,Sasithakan Sritonthip</t>
        </is>
      </c>
      <c r="C1696" s="2">
        <v>45814</v>
      </c>
      <c r="D1696" s="2"/>
      <c r="E1696" t="inlineStr">
        <is>
          <t>ด่วน!</t>
        </is>
      </c>
      <c r="F1696" s="3"/>
      <c r="G1696"/>
      <c r="H1696" t="inlineStr">
        <is>
          <t>Shorts</t>
        </is>
      </c>
      <c r="I1696" t="inlineStr">
        <is>
          <t>งานประจำวัน</t>
        </is>
      </c>
      <c r="J1696" t="inlineStr">
        <is>
          <t>Done</t>
        </is>
      </c>
      <c r="K1696" t="inlineStr">
        <is>
          <t>ส่งสคริปต์ให้พี่เต้นท์ด้วย</t>
        </is>
      </c>
      <c r="L1696" s="3"/>
      <c r="M1696" t="inlineStr">
        <is>
          <t>1</t>
        </is>
      </c>
      <c r="N1696" t="inlineStr">
        <is>
          <t>Apple</t>
        </is>
      </c>
      <c r="O1696"/>
    </row>
    <row r="1697" ht="12.75" customHeight="1">
      <c r="A1697" t="inlineStr">
        <is>
          <t xml:space="preserve">พบกับงาน WWDC25 </t>
        </is>
      </c>
      <c r="B1697" t="inlineStr">
        <is>
          <t>Nattida Suriyodara,Sasithakan Sritonthip</t>
        </is>
      </c>
      <c r="C1697" s="2">
        <v>45814</v>
      </c>
      <c r="D1697" s="2"/>
      <c r="E1697" t="inlineStr">
        <is>
          <t>ด่วน!</t>
        </is>
      </c>
      <c r="F1697" s="3"/>
      <c r="G1697"/>
      <c r="H1697" t="inlineStr">
        <is>
          <t>Shorts</t>
        </is>
      </c>
      <c r="I1697" t="inlineStr">
        <is>
          <t>งานประจำวัน</t>
        </is>
      </c>
      <c r="J1697" t="inlineStr">
        <is>
          <t>Done</t>
        </is>
      </c>
      <c r="K1697" t="inlineStr">
        <is>
          <t>- ส่งสคริปต์ให้พี่เต้นท์
- ลงวันจันทร์</t>
        </is>
      </c>
      <c r="L1697" s="3"/>
      <c r="M1697" t="inlineStr">
        <is>
          <t>1</t>
        </is>
      </c>
      <c r="N1697" t="inlineStr">
        <is>
          <t>Apple</t>
        </is>
      </c>
      <c r="O1697"/>
    </row>
    <row r="1698" ht="12.75" customHeight="1">
      <c r="A1698" t="inlineStr">
        <is>
          <t>Apple Arcade เตรียมเปิดตัวเกมใหม่ 9 เกม</t>
        </is>
      </c>
      <c r="B1698" t="inlineStr">
        <is>
          <t>Sasithakan Sritonthip</t>
        </is>
      </c>
      <c r="C1698" s="2">
        <v>45814</v>
      </c>
      <c r="D1698" s="2">
        <v>45814</v>
      </c>
      <c r="E1698" t="inlineStr">
        <is>
          <t>ปกติ</t>
        </is>
      </c>
      <c r="F1698" s="3" t="str">
        <f>=HYPERLINK("https://www.apple.com/th/newsroom/2025/06/apple-arcade-welcomes-nine-new-games/", "https://www.apple.com/th/newsroom/2025/06/apple-arcade-welcomes-nine-new-games/")</f>
        <v>https://www.apple.com/th/newsroom/2025/06/apple-arcade-welcomes-nine-new-games/</v>
      </c>
      <c r="G1698"/>
      <c r="H1698" t="inlineStr">
        <is>
          <t>Website</t>
        </is>
      </c>
      <c r="I1698" t="inlineStr">
        <is>
          <t>งานประจำวัน</t>
        </is>
      </c>
      <c r="J1698" t="inlineStr">
        <is>
          <t>Done</t>
        </is>
      </c>
      <c r="K1698"/>
      <c r="L1698" s="3"/>
      <c r="M1698" t="inlineStr">
        <is>
          <t>1</t>
        </is>
      </c>
      <c r="N1698" t="inlineStr">
        <is>
          <t>Apple</t>
        </is>
      </c>
      <c r="O1698"/>
    </row>
    <row r="1699" ht="12.75" customHeight="1">
      <c r="A1699" t="inlineStr">
        <is>
          <t>homeOS อาจถูกเปิดตัวในงาน WWDC25</t>
        </is>
      </c>
      <c r="B1699" t="inlineStr">
        <is>
          <t>Thitirath Kinaret</t>
        </is>
      </c>
      <c r="C1699" s="2">
        <v>45814</v>
      </c>
      <c r="D1699" s="2">
        <v>45814</v>
      </c>
      <c r="E1699" t="inlineStr">
        <is>
          <t>ปกติ</t>
        </is>
      </c>
      <c r="F1699" s="3"/>
      <c r="G1699"/>
      <c r="H1699" t="inlineStr">
        <is>
          <t>Website</t>
        </is>
      </c>
      <c r="I1699" t="inlineStr">
        <is>
          <t>งานประจำวัน</t>
        </is>
      </c>
      <c r="J1699" t="inlineStr">
        <is>
          <t>Done</t>
        </is>
      </c>
      <c r="K1699" t="inlineStr">
        <is>
          <t>https://www.iphonemod.net/homeos-possible-announce-wwdc25-report.html</t>
        </is>
      </c>
      <c r="L1699" s="3"/>
      <c r="M1699" t="inlineStr">
        <is>
          <t>1</t>
        </is>
      </c>
      <c r="N1699" t="inlineStr">
        <is>
          <t>Apple</t>
        </is>
      </c>
      <c r="O1699"/>
    </row>
    <row r="1700" ht="12.75" customHeight="1">
      <c r="A1700" t="inlineStr">
        <is>
          <t>ในอนาคตหากซื้อของจาก Amazon อาจถูกจัดส่งโดยหุ่นยนต์ฮิวแมนนอยด์</t>
        </is>
      </c>
      <c r="B1700" t="inlineStr">
        <is>
          <t>Saktaphat Kordjan</t>
        </is>
      </c>
      <c r="C1700" s="2">
        <v>45814</v>
      </c>
      <c r="D1700" s="2"/>
      <c r="E1700" t="inlineStr">
        <is>
          <t>ปกติ</t>
        </is>
      </c>
      <c r="F1700" s="3" t="str">
        <f>=HYPERLINK("https://www.theverge.com/news/680258/amazon-training-package-delivery-humanoid-robots", "https://www.theverge.com/news/680258/amazon-training-package-delivery-humanoid-robots")</f>
        <v>https://www.theverge.com/news/680258/amazon-training-package-delivery-humanoid-robots</v>
      </c>
      <c r="G1700"/>
      <c r="H1700" t="inlineStr">
        <is>
          <t>Website</t>
        </is>
      </c>
      <c r="I1700" t="inlineStr">
        <is>
          <t>งานประจำวัน</t>
        </is>
      </c>
      <c r="J1700" t="inlineStr">
        <is>
          <t>Done</t>
        </is>
      </c>
      <c r="K1700"/>
      <c r="L1700" s="3"/>
      <c r="M1700" t="inlineStr">
        <is>
          <t>1</t>
        </is>
      </c>
      <c r="N1700" t="inlineStr">
        <is>
          <t>Tech</t>
        </is>
      </c>
      <c r="O1700"/>
    </row>
    <row r="1701" ht="12.75" customHeight="1">
      <c r="A1701" t="inlineStr">
        <is>
          <t>หลุดราคา Galaxy Z Flip7 FE</t>
        </is>
      </c>
      <c r="B1701" t="inlineStr">
        <is>
          <t>Saktaphat Kordjan</t>
        </is>
      </c>
      <c r="C1701" s="2">
        <v>45814</v>
      </c>
      <c r="D1701" s="2"/>
      <c r="E1701" t="inlineStr">
        <is>
          <t>ปกติ</t>
        </is>
      </c>
      <c r="F1701" s="3" t="str">
        <f>=HYPERLINK("https://www.gsmarena.com/samsung_galaxy_z_flip7_fe_price_leaks-news-68129.php", "https://www.gsmarena.com/samsung_galaxy_z_flip7_fe_price_leaks-news-68129.php")</f>
        <v>https://www.gsmarena.com/samsung_galaxy_z_flip7_fe_price_leaks-news-68129.php</v>
      </c>
      <c r="G1701"/>
      <c r="H1701" t="inlineStr">
        <is>
          <t>Website</t>
        </is>
      </c>
      <c r="I1701" t="inlineStr">
        <is>
          <t>งานประจำวัน</t>
        </is>
      </c>
      <c r="J1701" t="inlineStr">
        <is>
          <t>Done</t>
        </is>
      </c>
      <c r="K1701"/>
      <c r="L1701" s="3"/>
      <c r="M1701" t="inlineStr">
        <is>
          <t>1</t>
        </is>
      </c>
      <c r="N1701" t="inlineStr">
        <is>
          <t>Android</t>
        </is>
      </c>
      <c r="O1701"/>
    </row>
    <row r="1702" ht="12.75" customHeight="1">
      <c r="A1702" t="inlineStr">
        <is>
          <t>ลือ! iPhone 17 รองรับ Qi 2.2 ชาร์จไร้สายเร็วสุด 50W</t>
        </is>
      </c>
      <c r="B1702" t="inlineStr">
        <is>
          <t>Thitirath Kinaret</t>
        </is>
      </c>
      <c r="C1702" s="2">
        <v>45814</v>
      </c>
      <c r="D1702" s="2">
        <v>45814</v>
      </c>
      <c r="E1702" t="inlineStr">
        <is>
          <t>ปกติ</t>
        </is>
      </c>
      <c r="F1702" s="3" t="str">
        <f>=HYPERLINK("https://www.iphonemod.net/iphone-17-may-support-qi-2-2-wireless-charge-up-to-50w-report.html", "https://www.iphonemod.net/iphone-17-may-support-qi-2-2-wireless-charge-up-to-50w-report.html")</f>
        <v>https://www.iphonemod.net/iphone-17-may-support-qi-2-2-wireless-charge-up-to-50w-report.html</v>
      </c>
      <c r="G1702"/>
      <c r="H1702" t="inlineStr">
        <is>
          <t>Website</t>
        </is>
      </c>
      <c r="I1702" t="inlineStr">
        <is>
          <t>งานประจำวัน</t>
        </is>
      </c>
      <c r="J1702" t="inlineStr">
        <is>
          <t>Done</t>
        </is>
      </c>
      <c r="K1702"/>
      <c r="L1702" s="3"/>
      <c r="M1702" t="inlineStr">
        <is>
          <t>1</t>
        </is>
      </c>
      <c r="N1702" t="inlineStr">
        <is>
          <t>Apple</t>
        </is>
      </c>
      <c r="O1702"/>
    </row>
    <row r="1703" ht="12.75" customHeight="1">
      <c r="A1703" t="inlineStr">
        <is>
          <t xml:space="preserve">ผู้ใช้ iPhone รุ่นที่เปิดตัวมา 4 ปี – ปัจจุบัน 88% ได้อัปเดตเป็น iOS 18 แล้ว </t>
        </is>
      </c>
      <c r="B1703" t="inlineStr">
        <is>
          <t>Thitirath Kinaret</t>
        </is>
      </c>
      <c r="C1703" s="2">
        <v>45814</v>
      </c>
      <c r="D1703" s="2">
        <v>45814</v>
      </c>
      <c r="E1703" t="inlineStr">
        <is>
          <t>ปกติ</t>
        </is>
      </c>
      <c r="F1703" s="3" t="str">
        <f>=HYPERLINK("https://www.iphonemod.net/apple-report-ios-18-adoption-jun-2025.html", "https://www.iphonemod.net/apple-report-ios-18-adoption-jun-2025.html")</f>
        <v>https://www.iphonemod.net/apple-report-ios-18-adoption-jun-2025.html</v>
      </c>
      <c r="G1703"/>
      <c r="H1703" t="inlineStr">
        <is>
          <t>Website</t>
        </is>
      </c>
      <c r="I1703" t="inlineStr">
        <is>
          <t>งานประจำวัน</t>
        </is>
      </c>
      <c r="J1703" t="inlineStr">
        <is>
          <t>Done</t>
        </is>
      </c>
      <c r="K1703"/>
      <c r="L1703" s="3"/>
      <c r="M1703" t="inlineStr">
        <is>
          <t>1</t>
        </is>
      </c>
      <c r="N1703" t="inlineStr">
        <is>
          <t>Apple</t>
        </is>
      </c>
      <c r="O1703"/>
    </row>
    <row r="1704" ht="12.75" customHeight="1">
      <c r="A1704" t="inlineStr">
        <is>
          <t>Samsung เผลอ? ยืนยันชื่อ Galaxy Z Flip 7 และ Fold 7</t>
        </is>
      </c>
      <c r="B1704" t="inlineStr">
        <is>
          <t>Saktaphat Kordjan</t>
        </is>
      </c>
      <c r="C1704" s="2">
        <v>45814</v>
      </c>
      <c r="D1704" s="2"/>
      <c r="E1704" t="inlineStr">
        <is>
          <t>ปกติ</t>
        </is>
      </c>
      <c r="F1704" s="3" t="str">
        <f>=HYPERLINK("https://www.androidauthority.com/samsung-accidentally-confirm-galaxy-z-flip-7-fold-7-3564809/", "https://www.androidauthority.com/samsung-accidentally-confirm-galaxy-z-flip-7-fold-7-3564809/")</f>
        <v>https://www.androidauthority.com/samsung-accidentally-confirm-galaxy-z-flip-7-fold-7-3564809/</v>
      </c>
      <c r="G1704"/>
      <c r="H1704" t="inlineStr">
        <is>
          <t>Website</t>
        </is>
      </c>
      <c r="I1704" t="inlineStr">
        <is>
          <t>งานประจำวัน</t>
        </is>
      </c>
      <c r="J1704" t="inlineStr">
        <is>
          <t>Done</t>
        </is>
      </c>
      <c r="K1704"/>
      <c r="L1704" s="3"/>
      <c r="M1704" t="inlineStr">
        <is>
          <t>1</t>
        </is>
      </c>
      <c r="N1704" t="inlineStr">
        <is>
          <t>Android</t>
        </is>
      </c>
      <c r="O1704"/>
    </row>
    <row r="1705" ht="12.75" customHeight="1">
      <c r="A1705" t="inlineStr">
        <is>
          <t>พบ Denza Z ซุปเปอร์คาร์ไฟฟ้ารุ่นผลิตจริง คู่แข่ง Porsche 911 ไฟฟ้า หรือได้แรงบันดาลใจ?</t>
        </is>
      </c>
      <c r="B1705" t="inlineStr">
        <is>
          <t>Nuttanon</t>
        </is>
      </c>
      <c r="C1705" s="2">
        <v>45814</v>
      </c>
      <c r="D1705" s="2">
        <v>45814</v>
      </c>
      <c r="E1705"/>
      <c r="F1705" s="3"/>
      <c r="G1705"/>
      <c r="H1705" t="inlineStr">
        <is>
          <t>Website</t>
        </is>
      </c>
      <c r="I1705" t="inlineStr">
        <is>
          <t>งานประจำวัน</t>
        </is>
      </c>
      <c r="J1705" t="inlineStr">
        <is>
          <t>Done</t>
        </is>
      </c>
      <c r="K1705"/>
      <c r="L1705" s="3" t="str">
        <f>=HYPERLINK("https://ev.iphonemod.net/denza-z-spy-shots-testing-911-rival/", "https://ev.iphonemod.net/denza-z-spy-shots-testing-911-rival/")</f>
        <v>https://ev.iphonemod.net/denza-z-spy-shots-testing-911-rival/</v>
      </c>
      <c r="M1705" t="inlineStr">
        <is>
          <t>1</t>
        </is>
      </c>
      <c r="N1705" t="inlineStr">
        <is>
          <t>EV</t>
        </is>
      </c>
      <c r="O1705"/>
    </row>
    <row r="1706" ht="12.75" customHeight="1">
      <c r="A1706" t="inlineStr">
        <is>
          <t>ส่องรถ SUV ตระกูลเลข 9 ทั้ง EV / REEV / PHEV (คันใหญ่สุด 6-7 ที่นั่ง มีคันไหนน่าสนใจบ้าง)</t>
        </is>
      </c>
      <c r="B1706" t="inlineStr">
        <is>
          <t>Nuttanon,Sakura</t>
        </is>
      </c>
      <c r="C1706" s="2">
        <v>45814</v>
      </c>
      <c r="D1706" s="2">
        <v>45818</v>
      </c>
      <c r="E1706" t="inlineStr">
        <is>
          <t>ปกติ</t>
        </is>
      </c>
      <c r="F1706" s="3"/>
      <c r="G1706"/>
      <c r="H1706" t="inlineStr">
        <is>
          <t>YouTube</t>
        </is>
      </c>
      <c r="I1706" t="inlineStr">
        <is>
          <t>เสนอไอเดีย</t>
        </is>
      </c>
      <c r="J1706" t="inlineStr">
        <is>
          <t>Done</t>
        </is>
      </c>
      <c r="K1706"/>
      <c r="L1706" s="3" t="str">
        <f>=HYPERLINK("https://www.youtube.com/watch?v=sSFhTiryCJI&amp;t=603s", "https://www.youtube.com/watch?v=sSFhTiryCJI&amp;t=603s")</f>
        <v>https://www.youtube.com/watch?v=sSFhTiryCJI&amp;t=603s</v>
      </c>
      <c r="M1706" t="inlineStr">
        <is>
          <t>1</t>
        </is>
      </c>
      <c r="N1706" t="inlineStr">
        <is>
          <t>ทั่วไป</t>
        </is>
      </c>
      <c r="O1706"/>
    </row>
    <row r="1707" ht="12.75" customHeight="1">
      <c r="A1707" t="inlineStr">
        <is>
          <t>Studio7 ลดทลายคลัง 2025 สินค้า Apple ลดสูงสุด 70%* @ซีคอนสแควร์ ศรีนครินทร์ 7 วันเท่านั้น!!!</t>
        </is>
      </c>
      <c r="B1707" t="inlineStr">
        <is>
          <t>Thitirath Kinaret</t>
        </is>
      </c>
      <c r="C1707" s="2">
        <v>45813</v>
      </c>
      <c r="D1707" s="2">
        <v>45813</v>
      </c>
      <c r="E1707" t="inlineStr">
        <is>
          <t>ปกติ</t>
        </is>
      </c>
      <c r="F1707" s="3" t="str">
        <f>=HYPERLINK("https://docs.google.com/presentation/d/14N4WcIl6CPHldalmL91iBHInXGSDIL_-aMSODdFX8nI/edit?usp=sharing", "https://docs.google.com/presentation/d/14N4WcIl6CPHldalmL91iBHInXGSDIL_-aMSODdFX8nI/edit?usp=sharing")</f>
        <v>https://docs.google.com/presentation/d/14N4WcIl6CPHldalmL91iBHInXGSDIL_-aMSODdFX8nI/edit?usp=sharing</v>
      </c>
      <c r="G1707"/>
      <c r="H1707" t="inlineStr">
        <is>
          <t>Pic Posts / Album, Event</t>
        </is>
      </c>
      <c r="I1707" t="inlineStr">
        <is>
          <t>งานลูกค้า</t>
        </is>
      </c>
      <c r="J1707" t="inlineStr">
        <is>
          <t>Done</t>
        </is>
      </c>
      <c r="K1707"/>
      <c r="L1707" s="3" t="str">
        <f>=HYPERLINK("https://www.facebook.com/iPhonemod/posts/pfbid0Eg17ySNZeTghTPjPahhxr92542eRWLa3PFPmL8GDumYqTUcpEQiieVc4auVHc5t2l", "https://www.facebook.com/iPhonemod/posts/pfbid0Eg17ySNZeTghTPjPahhxr92542eRWLa3PFPmL8GDumYqTUcpEQiieVc4auVHc5t2l")</f>
        <v>https://www.facebook.com/iPhonemod/posts/pfbid0Eg17ySNZeTghTPjPahhxr92542eRWLa3PFPmL8GDumYqTUcpEQiieVc4auVHc5t2l</v>
      </c>
      <c r="M1707" t="inlineStr">
        <is>
          <t>1</t>
        </is>
      </c>
      <c r="N1707" t="inlineStr">
        <is>
          <t>ทั่วไป</t>
        </is>
      </c>
      <c r="O1707"/>
    </row>
    <row r="1708" ht="12.75" customHeight="1">
      <c r="A1708" t="inlineStr">
        <is>
          <t>Samsung Notes One UI 8 อัปเดต</t>
        </is>
      </c>
      <c r="B1708" t="inlineStr">
        <is>
          <t>Saktaphat Kordjan</t>
        </is>
      </c>
      <c r="C1708" s="2">
        <v>45813</v>
      </c>
      <c r="D1708" s="2"/>
      <c r="E1708" t="inlineStr">
        <is>
          <t>ปกติ</t>
        </is>
      </c>
      <c r="F1708" s="3" t="str">
        <f>=HYPERLINK("https://www.sammobile.com/news/one-ui-8-samsung-notes-features-leak-customizable-toolbar/", "https://www.sammobile.com/news/one-ui-8-samsung-notes-features-leak-customizable-toolbar/")</f>
        <v>https://www.sammobile.com/news/one-ui-8-samsung-notes-features-leak-customizable-toolbar/</v>
      </c>
      <c r="G1708"/>
      <c r="H1708" t="inlineStr">
        <is>
          <t>Website</t>
        </is>
      </c>
      <c r="I1708" t="inlineStr">
        <is>
          <t>งานประจำวัน</t>
        </is>
      </c>
      <c r="J1708" t="inlineStr">
        <is>
          <t>Done</t>
        </is>
      </c>
      <c r="K1708"/>
      <c r="L1708" s="3"/>
      <c r="M1708" t="inlineStr">
        <is>
          <t>1</t>
        </is>
      </c>
      <c r="N1708" t="inlineStr">
        <is>
          <t>Android</t>
        </is>
      </c>
      <c r="O1708"/>
    </row>
    <row r="1709" ht="12.75" customHeight="1">
      <c r="A1709" t="inlineStr">
        <is>
          <t>ลือ! iOS 26 เพิ่มฟีเจอร์ใหม่ AirPods หยุดเล่นเพลงตอนหลับ ควบคุมกล้องได้ และอื่น ๆ
</t>
        </is>
      </c>
      <c r="B1709" t="inlineStr">
        <is>
          <t>Thitirath Kinaret</t>
        </is>
      </c>
      <c r="C1709" s="2">
        <v>45813</v>
      </c>
      <c r="D1709" s="2">
        <v>45813</v>
      </c>
      <c r="E1709" t="inlineStr">
        <is>
          <t>ปกติ</t>
        </is>
      </c>
      <c r="F1709" s="3" t="str">
        <f>=HYPERLINK("https://www.iphonemod.net/ios-26-add-sleep-detection-camera-control-and-more-rumors.html", "https://www.iphonemod.net/ios-26-add-sleep-detection-camera-control-and-more-rumors.html")</f>
        <v>https://www.iphonemod.net/ios-26-add-sleep-detection-camera-control-and-more-rumors.html</v>
      </c>
      <c r="G1709"/>
      <c r="H1709" t="inlineStr">
        <is>
          <t>Website</t>
        </is>
      </c>
      <c r="I1709" t="inlineStr">
        <is>
          <t>งานประจำวัน</t>
        </is>
      </c>
      <c r="J1709" t="inlineStr">
        <is>
          <t>Done</t>
        </is>
      </c>
      <c r="K1709"/>
      <c r="L1709" s="3"/>
      <c r="M1709" t="inlineStr">
        <is>
          <t>1</t>
        </is>
      </c>
      <c r="N1709" t="inlineStr">
        <is>
          <t>Apple</t>
        </is>
      </c>
      <c r="O1709"/>
    </row>
    <row r="1710" ht="12.75" customHeight="1">
      <c r="A1710" t="inlineStr">
        <is>
          <t>บัญชี Samsung จะถูกลบในวันที่ 31 กรกฎาคม หากไม่มีการใช้งานเป็นเวลา 24 เดือน</t>
        </is>
      </c>
      <c r="B1710" t="inlineStr">
        <is>
          <t>Saktaphat Kordjan</t>
        </is>
      </c>
      <c r="C1710" s="2">
        <v>45813</v>
      </c>
      <c r="D1710" s="2"/>
      <c r="E1710" t="inlineStr">
        <is>
          <t>ปกติ</t>
        </is>
      </c>
      <c r="F1710" s="3" t="str">
        <f>=HYPERLINK("https://www.sammobile.com/news/your-samsung-account-will-be-deleted-on-july-31-if-its-been-inactive-for-24-months/", "https://www.sammobile.com/news/your-samsung-account-will-be-deleted-on-july-31-if-its-been-inactive-for-24-months/")</f>
        <v>https://www.sammobile.com/news/your-samsung-account-will-be-deleted-on-july-31-if-its-been-inactive-for-24-months/</v>
      </c>
      <c r="G1710"/>
      <c r="H1710" t="inlineStr">
        <is>
          <t>Website</t>
        </is>
      </c>
      <c r="I1710" t="inlineStr">
        <is>
          <t>งานประจำวัน</t>
        </is>
      </c>
      <c r="J1710" t="inlineStr">
        <is>
          <t>Done</t>
        </is>
      </c>
      <c r="K1710"/>
      <c r="L1710" s="3"/>
      <c r="M1710" t="inlineStr">
        <is>
          <t>1</t>
        </is>
      </c>
      <c r="N1710" t="inlineStr">
        <is>
          <t>Android</t>
        </is>
      </c>
      <c r="O1710"/>
    </row>
    <row r="1711" ht="12.75" customHeight="1">
      <c r="A1711" t="inlineStr">
        <is>
          <t>ChatGPT for Business บน Mac บันทึกการประชุม สรุปการประชุม, ดึงข้อมูลจากไฟล์บน Cloud มาวิเคราะห์ได้
</t>
        </is>
      </c>
      <c r="B1711" t="inlineStr">
        <is>
          <t>Thitirath Kinaret</t>
        </is>
      </c>
      <c r="C1711" s="2">
        <v>45813</v>
      </c>
      <c r="D1711" s="2">
        <v>45813</v>
      </c>
      <c r="E1711" t="inlineStr">
        <is>
          <t>ปกติ</t>
        </is>
      </c>
      <c r="F1711" s="3" t="str">
        <f>=HYPERLINK("https://www.iphonemod.net/chatgpt-for-mac-support-meetings-record-and-cloud-drive-connection.html", "https://www.iphonemod.net/chatgpt-for-mac-support-meetings-record-and-cloud-drive-connection.html")</f>
        <v>https://www.iphonemod.net/chatgpt-for-mac-support-meetings-record-and-cloud-drive-connection.html</v>
      </c>
      <c r="G1711"/>
      <c r="H1711" t="inlineStr">
        <is>
          <t>Website</t>
        </is>
      </c>
      <c r="I1711" t="inlineStr">
        <is>
          <t>งานประจำวัน</t>
        </is>
      </c>
      <c r="J1711" t="inlineStr">
        <is>
          <t>Done</t>
        </is>
      </c>
      <c r="K1711"/>
      <c r="L1711" s="3"/>
      <c r="M1711" t="inlineStr">
        <is>
          <t>1</t>
        </is>
      </c>
      <c r="N1711" t="inlineStr">
        <is>
          <t>AI</t>
        </is>
      </c>
      <c r="O1711"/>
    </row>
    <row r="1712" ht="12.75" customHeight="1">
      <c r="A1712" t="inlineStr">
        <is>
          <t xml:space="preserve">Meta Aria Gen 2 </t>
        </is>
      </c>
      <c r="B1712" t="inlineStr">
        <is>
          <t>Saktaphat Kordjan</t>
        </is>
      </c>
      <c r="C1712" s="2">
        <v>45813</v>
      </c>
      <c r="D1712" s="2"/>
      <c r="E1712" t="inlineStr">
        <is>
          <t>ปกติ</t>
        </is>
      </c>
      <c r="F1712" s="3" t="str">
        <f>=HYPERLINK("https://www.theverge.com/news/679707/meta-aria-gen-2-upgrades-specs-ai", "https://www.theverge.com/news/679707/meta-aria-gen-2-upgrades-specs-ai")</f>
        <v>https://www.theverge.com/news/679707/meta-aria-gen-2-upgrades-specs-ai</v>
      </c>
      <c r="G1712"/>
      <c r="H1712" t="inlineStr">
        <is>
          <t>Website</t>
        </is>
      </c>
      <c r="I1712" t="inlineStr">
        <is>
          <t>งานประจำวัน</t>
        </is>
      </c>
      <c r="J1712" t="inlineStr">
        <is>
          <t>Done</t>
        </is>
      </c>
      <c r="K1712"/>
      <c r="L1712" s="3"/>
      <c r="M1712" t="inlineStr">
        <is>
          <t>1</t>
        </is>
      </c>
      <c r="N1712" t="inlineStr">
        <is>
          <t>Tech</t>
        </is>
      </c>
      <c r="O1712"/>
    </row>
    <row r="1713" ht="12.75" customHeight="1">
      <c r="A1713" t="inlineStr">
        <is>
          <t>บทความ Google Meet Update แชร์หน้าจอ</t>
        </is>
      </c>
      <c r="B1713" t="inlineStr">
        <is>
          <t>Sasithakan Sritonthip</t>
        </is>
      </c>
      <c r="C1713" s="2">
        <v>45813</v>
      </c>
      <c r="D1713" s="2"/>
      <c r="E1713" t="inlineStr">
        <is>
          <t>ปกติ</t>
        </is>
      </c>
      <c r="F1713" s="3" t="str">
        <f>=HYPERLINK("https://9to5google.com/2025/06/04/google-meet-screen-sharing-update/", "https://9to5google.com/2025/06/04/google-meet-screen-sharing-update/")</f>
        <v>https://9to5google.com/2025/06/04/google-meet-screen-sharing-update/</v>
      </c>
      <c r="G1713"/>
      <c r="H1713" t="inlineStr">
        <is>
          <t>Website</t>
        </is>
      </c>
      <c r="I1713" t="inlineStr">
        <is>
          <t>งานประจำวัน</t>
        </is>
      </c>
      <c r="J1713" t="inlineStr">
        <is>
          <t>Done</t>
        </is>
      </c>
      <c r="K1713"/>
      <c r="L1713" s="3"/>
      <c r="M1713" t="inlineStr">
        <is>
          <t>1</t>
        </is>
      </c>
      <c r="N1713" t="inlineStr">
        <is>
          <t>ทั่วไป</t>
        </is>
      </c>
      <c r="O1713"/>
    </row>
    <row r="1714" ht="12.75" customHeight="1">
      <c r="A1714" t="inlineStr">
        <is>
          <t>Gemini Live ใช้บน iPhone ได้ (สักพัก) แล้ว</t>
        </is>
      </c>
      <c r="B1714" t="inlineStr">
        <is>
          <t>Thitirath Kinaret</t>
        </is>
      </c>
      <c r="C1714" s="2">
        <v>45813</v>
      </c>
      <c r="D1714" s="2">
        <v>45813</v>
      </c>
      <c r="E1714" t="inlineStr">
        <is>
          <t>ปกติ</t>
        </is>
      </c>
      <c r="F1714" s="3" t="str">
        <f>=HYPERLINK("https://www.facebook.com/iPhonemod/posts/pfbid028ZHebBjWhy3BiTnfvAxsS6rR1HvMUu6WoConJL8WB1hrFFEajh3Ba31PcA1ULANtl", "https://www.facebook.com/iPhonemod/posts/pfbid028ZHebBjWhy3BiTnfvAxsS6rR1HvMUu6WoConJL8WB1hrFFEajh3Ba31PcA1ULANtl")</f>
        <v>https://www.facebook.com/iPhonemod/posts/pfbid028ZHebBjWhy3BiTnfvAxsS6rR1HvMUu6WoConJL8WB1hrFFEajh3Ba31PcA1ULANtl</v>
      </c>
      <c r="G1714"/>
      <c r="H1714" t="inlineStr">
        <is>
          <t>Pic Posts / Album</t>
        </is>
      </c>
      <c r="I1714" t="inlineStr">
        <is>
          <t>งานประจำวัน</t>
        </is>
      </c>
      <c r="J1714" t="inlineStr">
        <is>
          <t>Done</t>
        </is>
      </c>
      <c r="K1714"/>
      <c r="L1714" s="3"/>
      <c r="M1714" t="inlineStr">
        <is>
          <t>1</t>
        </is>
      </c>
      <c r="N1714" t="inlineStr">
        <is>
          <t>Apple, AI</t>
        </is>
      </c>
      <c r="O1714"/>
    </row>
    <row r="1715" ht="12.75" customHeight="1">
      <c r="A1715" t="inlineStr">
        <is>
          <t>คลิปสั้น iOS 26 อัปเดต Airpods</t>
        </is>
      </c>
      <c r="B1715" t="inlineStr">
        <is>
          <t>Sasithakan Sritonthip,Saktaphat Kordjan</t>
        </is>
      </c>
      <c r="C1715" s="2">
        <v>45813</v>
      </c>
      <c r="D1715" s="2"/>
      <c r="E1715" t="inlineStr">
        <is>
          <t>ปกติ</t>
        </is>
      </c>
      <c r="F1715" s="3"/>
      <c r="G1715"/>
      <c r="H1715" t="inlineStr">
        <is>
          <t>Shorts</t>
        </is>
      </c>
      <c r="I1715" t="inlineStr">
        <is>
          <t>งานประจำวัน</t>
        </is>
      </c>
      <c r="J1715" t="inlineStr">
        <is>
          <t>Done</t>
        </is>
      </c>
      <c r="K1715" t="inlineStr">
        <is>
          <t>https://www.iphonemod.net/ios-26-add-sleep-detection-camera-control-and-more-rumors.html</t>
        </is>
      </c>
      <c r="L1715" s="3"/>
      <c r="M1715" t="inlineStr">
        <is>
          <t>1</t>
        </is>
      </c>
      <c r="N1715" t="inlineStr">
        <is>
          <t>Apple</t>
        </is>
      </c>
      <c r="O1715"/>
    </row>
    <row r="1716" ht="12.75" customHeight="1">
      <c r="A1716" t="inlineStr">
        <is>
          <t>อดีตนักออกแบบ Apple เผยภาพแนวคิด iOS 26 ดีไซน์กระจก
</t>
        </is>
      </c>
      <c r="B1716" t="inlineStr">
        <is>
          <t>Thitirath Kinaret</t>
        </is>
      </c>
      <c r="C1716" s="2">
        <v>45813</v>
      </c>
      <c r="D1716" s="2">
        <v>45813</v>
      </c>
      <c r="E1716" t="inlineStr">
        <is>
          <t>ปกติ</t>
        </is>
      </c>
      <c r="F1716" s="3" t="str">
        <f>=HYPERLINK("https://www.iphonemod.net/apple-ex-designer-living-glass-ios-26-concept.html", "https://www.iphonemod.net/apple-ex-designer-living-glass-ios-26-concept.html")</f>
        <v>https://www.iphonemod.net/apple-ex-designer-living-glass-ios-26-concept.html</v>
      </c>
      <c r="G1716"/>
      <c r="H1716" t="inlineStr">
        <is>
          <t>Website</t>
        </is>
      </c>
      <c r="I1716" t="inlineStr">
        <is>
          <t>งานประจำวัน</t>
        </is>
      </c>
      <c r="J1716" t="inlineStr">
        <is>
          <t>Done</t>
        </is>
      </c>
      <c r="K1716"/>
      <c r="L1716" s="3"/>
      <c r="M1716" t="inlineStr">
        <is>
          <t>1</t>
        </is>
      </c>
      <c r="N1716" t="inlineStr">
        <is>
          <t>Apple</t>
        </is>
      </c>
      <c r="O1716"/>
    </row>
    <row r="1717" ht="12.75" customHeight="1">
      <c r="A1717" t="inlineStr">
        <is>
          <t>เปิดตัว Ford Super Mustang Mach-E สำหรับแข่ง Pikes Peak โดยเฉพาะ แรง มัดกล้ามแน่น!</t>
        </is>
      </c>
      <c r="B1717" t="inlineStr">
        <is>
          <t>Nuttanon</t>
        </is>
      </c>
      <c r="C1717" s="2">
        <v>45813</v>
      </c>
      <c r="D1717" s="2">
        <v>45814</v>
      </c>
      <c r="E1717" t="inlineStr">
        <is>
          <t>ปกติ</t>
        </is>
      </c>
      <c r="F1717" s="3"/>
      <c r="G1717"/>
      <c r="H1717" t="inlineStr">
        <is>
          <t>Website</t>
        </is>
      </c>
      <c r="I1717" t="inlineStr">
        <is>
          <t>งานประจำวัน</t>
        </is>
      </c>
      <c r="J1717" t="inlineStr">
        <is>
          <t>Done</t>
        </is>
      </c>
      <c r="K1717"/>
      <c r="L1717" s="3" t="str">
        <f>=HYPERLINK("https://ev.iphonemod.net/ford-super-mustang-mach-e-pikes-peak/", "https://ev.iphonemod.net/ford-super-mustang-mach-e-pikes-peak/")</f>
        <v>https://ev.iphonemod.net/ford-super-mustang-mach-e-pikes-peak/</v>
      </c>
      <c r="M1717" t="inlineStr">
        <is>
          <t>1</t>
        </is>
      </c>
      <c r="N1717" t="inlineStr">
        <is>
          <t>EV</t>
        </is>
      </c>
      <c r="O1717"/>
    </row>
    <row r="1718" ht="12.75" customHeight="1">
      <c r="A1718" t="inlineStr">
        <is>
          <t>ไขข้อข้องใจ ทำไม Tesla แบตเตอรี่ลดลง ถึงแม้ว่าจอดรถอยู่</t>
        </is>
      </c>
      <c r="B1718" t="inlineStr">
        <is>
          <t>Sakura</t>
        </is>
      </c>
      <c r="C1718" s="2">
        <v>45813</v>
      </c>
      <c r="D1718" s="2">
        <v>45813</v>
      </c>
      <c r="E1718" t="inlineStr">
        <is>
          <t>ปกติ</t>
        </is>
      </c>
      <c r="F1718" s="3"/>
      <c r="G1718"/>
      <c r="H1718" t="inlineStr">
        <is>
          <t>Website</t>
        </is>
      </c>
      <c r="I1718" t="inlineStr">
        <is>
          <t>งานประจำวัน</t>
        </is>
      </c>
      <c r="J1718" t="inlineStr">
        <is>
          <t>Done</t>
        </is>
      </c>
      <c r="K1718"/>
      <c r="L1718" s="3" t="str">
        <f>=HYPERLINK("https://ev.iphonemod.net/which-feature-tesla-ev-phantom-drain-battery/", "https://ev.iphonemod.net/which-feature-tesla-ev-phantom-drain-battery/")</f>
        <v>https://ev.iphonemod.net/which-feature-tesla-ev-phantom-drain-battery/</v>
      </c>
      <c r="M1718" t="inlineStr">
        <is>
          <t>1</t>
        </is>
      </c>
      <c r="N1718" t="inlineStr">
        <is>
          <t>EV</t>
        </is>
      </c>
      <c r="O1718"/>
    </row>
    <row r="1719" ht="12.75" customHeight="1">
      <c r="A1719" t="inlineStr">
        <is>
          <t>พบ GWM Tank 500 พรางตัวทดสอบ มาพร้อม LiDAR และการปรับแต่งภายในใหม่</t>
        </is>
      </c>
      <c r="B1719" t="inlineStr">
        <is>
          <t>Sakura</t>
        </is>
      </c>
      <c r="C1719" s="2">
        <v>45813</v>
      </c>
      <c r="D1719" s="2">
        <v>45813</v>
      </c>
      <c r="E1719" t="inlineStr">
        <is>
          <t>ปกติ</t>
        </is>
      </c>
      <c r="F1719" s="3"/>
      <c r="G1719"/>
      <c r="H1719" t="inlineStr">
        <is>
          <t>Website</t>
        </is>
      </c>
      <c r="I1719" t="inlineStr">
        <is>
          <t>งานประจำวัน</t>
        </is>
      </c>
      <c r="J1719" t="inlineStr">
        <is>
          <t>Done</t>
        </is>
      </c>
      <c r="K1719"/>
      <c r="L1719" s="3" t="str">
        <f>=HYPERLINK("https://ev.iphonemod.net/gwm-tank-500-lidar-and-interior-upgrade/", "https://ev.iphonemod.net/gwm-tank-500-lidar-and-interior-upgrade/")</f>
        <v>https://ev.iphonemod.net/gwm-tank-500-lidar-and-interior-upgrade/</v>
      </c>
      <c r="M1719" t="inlineStr">
        <is>
          <t>1</t>
        </is>
      </c>
      <c r="N1719" t="inlineStr">
        <is>
          <t>EV</t>
        </is>
      </c>
      <c r="O1719"/>
    </row>
    <row r="1720" ht="12.75" customHeight="1">
      <c r="A1720" t="inlineStr">
        <is>
          <t>เปิดตัว Aion Y Plus รุ่นปี 2025 ใหม่ในจีน ปรับปรุงทั้งภายนอกและภายใน เริ่มประมาณ 505,000 บาท</t>
        </is>
      </c>
      <c r="B1720" t="inlineStr">
        <is>
          <t>Sakura</t>
        </is>
      </c>
      <c r="C1720" s="2">
        <v>45813</v>
      </c>
      <c r="D1720" s="2">
        <v>45813</v>
      </c>
      <c r="E1720" t="inlineStr">
        <is>
          <t>ปกติ</t>
        </is>
      </c>
      <c r="F1720" s="3"/>
      <c r="G1720"/>
      <c r="H1720" t="inlineStr">
        <is>
          <t>Website</t>
        </is>
      </c>
      <c r="I1720" t="inlineStr">
        <is>
          <t>งานประจำวัน</t>
        </is>
      </c>
      <c r="J1720" t="inlineStr">
        <is>
          <t>Done</t>
        </is>
      </c>
      <c r="K1720"/>
      <c r="L1720" s="3" t="str">
        <f>=HYPERLINK("https://ev.iphonemod.net/gac-aion-debut-new-aion-y-plus-2025/", "https://ev.iphonemod.net/gac-aion-debut-new-aion-y-plus-2025/")</f>
        <v>https://ev.iphonemod.net/gac-aion-debut-new-aion-y-plus-2025/</v>
      </c>
      <c r="M1720" t="inlineStr">
        <is>
          <t>1</t>
        </is>
      </c>
      <c r="N1720" t="inlineStr">
        <is>
          <t>EV</t>
        </is>
      </c>
      <c r="O1720"/>
    </row>
    <row r="1721" ht="12.75" customHeight="1">
      <c r="A1721" t="inlineStr">
        <is>
          <t>ยางธรรมดา vs ยาง EV ใครเอาอยู่? ทดสอบ MICHELIN PILOT SPORT 5 &amp; MICHELIN PRIMACY 5 บนรถไฟฟ้า</t>
        </is>
      </c>
      <c r="B1721" t="inlineStr">
        <is>
          <t>Sakura</t>
        </is>
      </c>
      <c r="C1721" s="2">
        <v>45813</v>
      </c>
      <c r="D1721" s="2">
        <v>45813</v>
      </c>
      <c r="E1721" t="inlineStr">
        <is>
          <t>ปกติ</t>
        </is>
      </c>
      <c r="F1721" s="3"/>
      <c r="G1721"/>
      <c r="H1721" t="inlineStr">
        <is>
          <t>Website</t>
        </is>
      </c>
      <c r="I1721" t="inlineStr">
        <is>
          <t>งานลูกค้า</t>
        </is>
      </c>
      <c r="J1721" t="inlineStr">
        <is>
          <t>Done</t>
        </is>
      </c>
      <c r="K1721"/>
      <c r="L1721" s="3" t="str">
        <f>=HYPERLINK("https://ev.iphonemod.net/?p=59430&amp;preview=1&amp;_ppp=f1751b77b3", "https://ev.iphonemod.net/?p=59430&amp;preview=1&amp;_ppp=f1751b77b3")</f>
        <v>https://ev.iphonemod.net/?p=59430&amp;preview=1&amp;_ppp=f1751b77b3</v>
      </c>
      <c r="M1721" t="inlineStr">
        <is>
          <t>1</t>
        </is>
      </c>
      <c r="N1721" t="inlineStr">
        <is>
          <t>EV, PR</t>
        </is>
      </c>
      <c r="O1721"/>
    </row>
    <row r="1722" ht="12.75" customHeight="1">
      <c r="A1722" t="inlineStr">
        <is>
          <t>Samsung Galaxy Z Flip 7 จะรองรับมาตรฐานการชาร์จไร้สาย Qi2.1.0</t>
        </is>
      </c>
      <c r="B1722" t="inlineStr">
        <is>
          <t>Saktaphat Kordjan</t>
        </is>
      </c>
      <c r="C1722" s="2">
        <v>45813</v>
      </c>
      <c r="D1722" s="2">
        <v>45814</v>
      </c>
      <c r="E1722" t="inlineStr">
        <is>
          <t>ปกติ</t>
        </is>
      </c>
      <c r="F1722" s="3" t="str">
        <f>=HYPERLINK("https://9to5google.com/2025/06/04/galaxy-z-flip-7-will-also-probably-be-qi2-ready-listing-reveals/", "https://9to5google.com/2025/06/04/galaxy-z-flip-7-will-also-probably-be-qi2-ready-listing-reveals/")</f>
        <v>https://9to5google.com/2025/06/04/galaxy-z-flip-7-will-also-probably-be-qi2-ready-listing-reveals/</v>
      </c>
      <c r="G1722"/>
      <c r="H1722" t="inlineStr">
        <is>
          <t>Website</t>
        </is>
      </c>
      <c r="I1722" t="inlineStr">
        <is>
          <t>งานประจำวัน</t>
        </is>
      </c>
      <c r="J1722" t="inlineStr">
        <is>
          <t>Done</t>
        </is>
      </c>
      <c r="K1722"/>
      <c r="L1722" s="3"/>
      <c r="M1722" t="inlineStr">
        <is>
          <t>1</t>
        </is>
      </c>
      <c r="N1722" t="inlineStr">
        <is>
          <t>Android</t>
        </is>
      </c>
      <c r="O1722"/>
    </row>
    <row r="1723" ht="12.75" customHeight="1">
      <c r="A1723" t="inlineStr">
        <is>
          <t xml:space="preserve">Gemini Live  </t>
        </is>
      </c>
      <c r="B1723" t="inlineStr">
        <is>
          <t>Nattida Suriyodara</t>
        </is>
      </c>
      <c r="C1723" s="2">
        <v>45813</v>
      </c>
      <c r="D1723" s="2"/>
      <c r="E1723" t="inlineStr">
        <is>
          <t>ด่วน!</t>
        </is>
      </c>
      <c r="F1723" s="3"/>
      <c r="G1723"/>
      <c r="H1723" t="inlineStr">
        <is>
          <t>YouTube, Website</t>
        </is>
      </c>
      <c r="I1723" t="inlineStr">
        <is>
          <t>งานประจำวัน</t>
        </is>
      </c>
      <c r="J1723" t="inlineStr">
        <is>
          <t>Done</t>
        </is>
      </c>
      <c r="K1723" t="inlineStr">
        <is>
          <t>การใช้งานเบื้องต้น</t>
        </is>
      </c>
      <c r="L1723" s="3"/>
      <c r="M1723" t="inlineStr">
        <is>
          <t>1</t>
        </is>
      </c>
      <c r="N1723" t="inlineStr">
        <is>
          <t>AI</t>
        </is>
      </c>
      <c r="O1723"/>
    </row>
    <row r="1724" ht="12.75" customHeight="1">
      <c r="A1724" t="inlineStr">
        <is>
          <t>Gemini Live</t>
        </is>
      </c>
      <c r="B1724" t="inlineStr">
        <is>
          <t>Sasithakan Sritonthip,Nattida Suriyodara</t>
        </is>
      </c>
      <c r="C1724" s="2">
        <v>45813</v>
      </c>
      <c r="D1724" s="2"/>
      <c r="E1724" t="inlineStr">
        <is>
          <t>ปกติ</t>
        </is>
      </c>
      <c r="F1724" s="3"/>
      <c r="G1724"/>
      <c r="H1724" t="inlineStr">
        <is>
          <t>Shorts</t>
        </is>
      </c>
      <c r="I1724" t="inlineStr">
        <is>
          <t>งานประจำวัน</t>
        </is>
      </c>
      <c r="J1724" t="inlineStr">
        <is>
          <t>Done</t>
        </is>
      </c>
      <c r="K1724"/>
      <c r="L1724" s="3"/>
      <c r="M1724" t="inlineStr">
        <is>
          <t>1</t>
        </is>
      </c>
      <c r="N1724" t="inlineStr">
        <is>
          <t>AI</t>
        </is>
      </c>
      <c r="O1724"/>
    </row>
    <row r="1725" ht="12.75" customHeight="1">
      <c r="A1725" t="inlineStr">
        <is>
          <t>รีวิวเต็ม Deepal S05 BEV &amp; REEV ตัวไหนตอบโจทย์คุณที่สุด?</t>
        </is>
      </c>
      <c r="B1725" t="inlineStr">
        <is>
          <t>Nuttanon</t>
        </is>
      </c>
      <c r="C1725" s="2">
        <v>45813</v>
      </c>
      <c r="D1725" s="2">
        <v>45814</v>
      </c>
      <c r="E1725" t="inlineStr">
        <is>
          <t>ปกติ</t>
        </is>
      </c>
      <c r="F1725" s="3"/>
      <c r="G1725"/>
      <c r="H1725" t="inlineStr">
        <is>
          <t>Website</t>
        </is>
      </c>
      <c r="I1725" t="inlineStr">
        <is>
          <t>งานประจำวัน</t>
        </is>
      </c>
      <c r="J1725" t="inlineStr">
        <is>
          <t>Done</t>
        </is>
      </c>
      <c r="K1725"/>
      <c r="L1725" s="3" t="str">
        <f>=HYPERLINK("https://ev.iphonemod.net/deepal-s05-bev-reev-full-review/", "https://ev.iphonemod.net/deepal-s05-bev-reev-full-review/")</f>
        <v>https://ev.iphonemod.net/deepal-s05-bev-reev-full-review/</v>
      </c>
      <c r="M1725" t="inlineStr">
        <is>
          <t>1</t>
        </is>
      </c>
      <c r="N1725" t="inlineStr">
        <is>
          <t>EV</t>
        </is>
      </c>
      <c r="O1725"/>
    </row>
    <row r="1726" ht="12.75" customHeight="1">
      <c r="A1726" t="inlineStr">
        <is>
          <t>Zeekr 9X รถ SUV ไฮบริด 7 ที่นั่ง ที่แรงระดับ Lamborghini แต่หรูแบบ Rolls-Royce ชาร์จไว วิ่งไกล</t>
        </is>
      </c>
      <c r="B1726" t="inlineStr">
        <is>
          <t>Nuttanon</t>
        </is>
      </c>
      <c r="C1726" s="2">
        <v>45813</v>
      </c>
      <c r="D1726" s="2">
        <v>45813</v>
      </c>
      <c r="E1726" t="inlineStr">
        <is>
          <t>ปกติ</t>
        </is>
      </c>
      <c r="F1726" s="3"/>
      <c r="G1726"/>
      <c r="H1726" t="inlineStr">
        <is>
          <t>Website</t>
        </is>
      </c>
      <c r="I1726" t="inlineStr">
        <is>
          <t>งานประจำวัน</t>
        </is>
      </c>
      <c r="J1726" t="inlineStr">
        <is>
          <t>Done</t>
        </is>
      </c>
      <c r="K1726"/>
      <c r="L1726" s="3" t="str">
        <f>=HYPERLINK("https://ev.iphonemod.net/zeekr-9x/", "https://ev.iphonemod.net/zeekr-9x/")</f>
        <v>https://ev.iphonemod.net/zeekr-9x/</v>
      </c>
      <c r="M1726" t="inlineStr">
        <is>
          <t>1</t>
        </is>
      </c>
      <c r="N1726" t="inlineStr">
        <is>
          <t>EV</t>
        </is>
      </c>
      <c r="O1726"/>
    </row>
    <row r="1727" ht="12.75" customHeight="1">
      <c r="A1727" t="inlineStr">
        <is>
          <t>Joe Mode (โหมดโจ) รถ Tesla คืออะไร?</t>
        </is>
      </c>
      <c r="B1727" t="inlineStr">
        <is>
          <t>Nuttanon</t>
        </is>
      </c>
      <c r="C1727" s="2">
        <v>45813</v>
      </c>
      <c r="D1727" s="2">
        <v>45813</v>
      </c>
      <c r="E1727" t="inlineStr">
        <is>
          <t>ปกติ</t>
        </is>
      </c>
      <c r="F1727" s="3"/>
      <c r="G1727"/>
      <c r="H1727" t="inlineStr">
        <is>
          <t>Shorts</t>
        </is>
      </c>
      <c r="I1727" t="inlineStr">
        <is>
          <t>เสนอไอเดีย</t>
        </is>
      </c>
      <c r="J1727" t="inlineStr">
        <is>
          <t>Done</t>
        </is>
      </c>
      <c r="K1727"/>
      <c r="L1727" s="3" t="str">
        <f>=HYPERLINK("https://www.facebook.com/reel/598688463269402", "https://www.facebook.com/reel/598688463269402")</f>
        <v>https://www.facebook.com/reel/598688463269402</v>
      </c>
      <c r="M1727" t="inlineStr">
        <is>
          <t>1</t>
        </is>
      </c>
      <c r="N1727" t="inlineStr">
        <is>
          <t>EV</t>
        </is>
      </c>
      <c r="O1727"/>
    </row>
    <row r="1728" ht="12.75" customHeight="1">
      <c r="A1728" t="inlineStr">
        <is>
          <t xml:space="preserve">ข้อควรระวังการใช้ AI </t>
        </is>
      </c>
      <c r="B1728" t="inlineStr">
        <is>
          <t>Nattida Suriyodara,Thitirath Kinaret</t>
        </is>
      </c>
      <c r="C1728" s="2">
        <v>45812</v>
      </c>
      <c r="D1728" s="2"/>
      <c r="E1728" t="inlineStr">
        <is>
          <t>ปกติ</t>
        </is>
      </c>
      <c r="F1728" s="3"/>
      <c r="G1728"/>
      <c r="H1728" t="inlineStr">
        <is>
          <t>YouTube</t>
        </is>
      </c>
      <c r="I1728" t="inlineStr">
        <is>
          <t>งานประจำวัน</t>
        </is>
      </c>
      <c r="J1728" t="inlineStr">
        <is>
          <t>Done</t>
        </is>
      </c>
      <c r="K1728" t="inlineStr">
        <is>
          <t>แนว Podcast นั่งคุยกัน</t>
        </is>
      </c>
      <c r="L1728" s="3"/>
      <c r="M1728" t="inlineStr">
        <is>
          <t>1</t>
        </is>
      </c>
      <c r="N1728" t="inlineStr">
        <is>
          <t>AI</t>
        </is>
      </c>
      <c r="O1728"/>
    </row>
    <row r="1729" ht="12.75" customHeight="1">
      <c r="A1729" t="inlineStr">
        <is>
          <t>เก็บเหรียญ Apple Watch วันวิ่งโลก 2025</t>
        </is>
      </c>
      <c r="B1729" t="inlineStr">
        <is>
          <t>Thitirath Kinaret</t>
        </is>
      </c>
      <c r="C1729" s="2">
        <v>45812</v>
      </c>
      <c r="D1729" s="2">
        <v>45812</v>
      </c>
      <c r="E1729" t="inlineStr">
        <is>
          <t>ปกติ</t>
        </is>
      </c>
      <c r="F1729" s="3" t="str">
        <f>=HYPERLINK("https://www.facebook.com/iPhonemod/posts/pfbid02jHZLAinXsxKuJiYkaX5Q8zgKWoFKitAxtTbiU7cx1BozxwHKy8xDcjBxbGNwPDTel", "https://www.facebook.com/iPhonemod/posts/pfbid02jHZLAinXsxKuJiYkaX5Q8zgKWoFKitAxtTbiU7cx1BozxwHKy8xDcjBxbGNwPDTel")</f>
        <v>https://www.facebook.com/iPhonemod/posts/pfbid02jHZLAinXsxKuJiYkaX5Q8zgKWoFKitAxtTbiU7cx1BozxwHKy8xDcjBxbGNwPDTel</v>
      </c>
      <c r="G1729"/>
      <c r="H1729" t="inlineStr">
        <is>
          <t>Pic Posts / Album</t>
        </is>
      </c>
      <c r="I1729" t="inlineStr">
        <is>
          <t>งานประจำวัน</t>
        </is>
      </c>
      <c r="J1729" t="inlineStr">
        <is>
          <t>Done</t>
        </is>
      </c>
      <c r="K1729"/>
      <c r="L1729" s="3"/>
      <c r="M1729" t="inlineStr">
        <is>
          <t>1</t>
        </is>
      </c>
      <c r="N1729" t="inlineStr">
        <is>
          <t>Apple</t>
        </is>
      </c>
      <c r="O1729"/>
    </row>
    <row r="1730" ht="12.75" customHeight="1">
      <c r="A1730" t="inlineStr">
        <is>
          <t>Galaxy Tab S11 Ultra จะมีแบตเตอรี่เพิ่มขึ้น</t>
        </is>
      </c>
      <c r="B1730" t="inlineStr">
        <is>
          <t>Saktaphat Kordjan</t>
        </is>
      </c>
      <c r="C1730" s="2">
        <v>45812</v>
      </c>
      <c r="D1730" s="2">
        <v>45812</v>
      </c>
      <c r="E1730" t="inlineStr">
        <is>
          <t>ปกติ</t>
        </is>
      </c>
      <c r="F1730" s="3" t="str">
        <f>=HYPERLINK("https://www.gsmarena.com/samsung_galaxy_tab_s11_ultra_to_have_a_bigger_battery-news-68042.php", "https://www.gsmarena.com/samsung_galaxy_tab_s11_ultra_to_have_a_bigger_battery-news-68042.php")</f>
        <v>https://www.gsmarena.com/samsung_galaxy_tab_s11_ultra_to_have_a_bigger_battery-news-68042.php</v>
      </c>
      <c r="G1730"/>
      <c r="H1730" t="inlineStr">
        <is>
          <t>Website</t>
        </is>
      </c>
      <c r="I1730" t="inlineStr">
        <is>
          <t>งานประจำวัน</t>
        </is>
      </c>
      <c r="J1730" t="inlineStr">
        <is>
          <t>Done</t>
        </is>
      </c>
      <c r="K1730" t="inlineStr">
        <is>
          <t xml:space="preserve">ข่าวลือความจุแบตเตอรี่ Galaxy Tab S11 Ultra </t>
        </is>
      </c>
      <c r="L1730" s="3" t="str">
        <f>=HYPERLINK("https://www.iphonemod.net/?p=306048&amp;preview=1&amp;_ppp=35820fee4f", "https://www.iphonemod.net/?p=306048&amp;preview=1&amp;_ppp=35820fee4f")</f>
        <v>https://www.iphonemod.net/?p=306048&amp;preview=1&amp;_ppp=35820fee4f</v>
      </c>
      <c r="M1730" t="inlineStr">
        <is>
          <t>1</t>
        </is>
      </c>
      <c r="N1730" t="inlineStr">
        <is>
          <t>Android</t>
        </is>
      </c>
      <c r="O1730"/>
    </row>
    <row r="1731" ht="12.75" customHeight="1">
      <c r="A1731" t="inlineStr">
        <is>
          <t>Apple เผยรายชื่อผู้ชนะรางวัลและผู้เข้ารอบสุดท้ายในงาน 2025 Apple Design Awards</t>
        </is>
      </c>
      <c r="B1731" t="inlineStr">
        <is>
          <t>Sasithakan Sritonthip</t>
        </is>
      </c>
      <c r="C1731" s="2">
        <v>45812</v>
      </c>
      <c r="D1731" s="2"/>
      <c r="E1731" t="inlineStr">
        <is>
          <t>ปกติ</t>
        </is>
      </c>
      <c r="F1731" s="3" t="str">
        <f>=HYPERLINK("https://www.apple.com/th/newsroom/2025/06/apple-unveils-winners-and-finalists-of-the-2025-apple-design-awards/", "https://www.apple.com/th/newsroom/2025/06/apple-unveils-winners-and-finalists-of-the-2025-apple-design-awards/")</f>
        <v>https://www.apple.com/th/newsroom/2025/06/apple-unveils-winners-and-finalists-of-the-2025-apple-design-awards/</v>
      </c>
      <c r="G1731"/>
      <c r="H1731" t="inlineStr">
        <is>
          <t>Website</t>
        </is>
      </c>
      <c r="I1731" t="inlineStr">
        <is>
          <t>งานประจำวัน</t>
        </is>
      </c>
      <c r="J1731" t="inlineStr">
        <is>
          <t>Done</t>
        </is>
      </c>
      <c r="K1731"/>
      <c r="L1731" s="3"/>
      <c r="M1731" t="inlineStr">
        <is>
          <t>1</t>
        </is>
      </c>
      <c r="N1731" t="inlineStr">
        <is>
          <t>Apple, PR</t>
        </is>
      </c>
      <c r="O1731"/>
    </row>
    <row r="1732" ht="12.75" customHeight="1">
      <c r="A1732" t="inlineStr">
        <is>
          <t>ลือ! แอป Message ใน iOS 26 รองรับแปลภาษาอัตโนมัติ
</t>
        </is>
      </c>
      <c r="B1732" t="inlineStr">
        <is>
          <t>Thitirath Kinaret</t>
        </is>
      </c>
      <c r="C1732" s="2">
        <v>45812</v>
      </c>
      <c r="D1732" s="2">
        <v>45812</v>
      </c>
      <c r="E1732" t="inlineStr">
        <is>
          <t>ปกติ</t>
        </is>
      </c>
      <c r="F1732" s="3" t="str">
        <f>=HYPERLINK("https://www.iphonemod.net/ios-26-messages-rumors-support-automatic-translation.html", "https://www.iphonemod.net/ios-26-messages-rumors-support-automatic-translation.html")</f>
        <v>https://www.iphonemod.net/ios-26-messages-rumors-support-automatic-translation.html</v>
      </c>
      <c r="G1732"/>
      <c r="H1732" t="inlineStr">
        <is>
          <t>Website</t>
        </is>
      </c>
      <c r="I1732" t="inlineStr">
        <is>
          <t>งานประจำวัน</t>
        </is>
      </c>
      <c r="J1732" t="inlineStr">
        <is>
          <t>Done</t>
        </is>
      </c>
      <c r="K1732"/>
      <c r="L1732" s="3"/>
      <c r="M1732" t="inlineStr">
        <is>
          <t>1</t>
        </is>
      </c>
      <c r="N1732" t="inlineStr">
        <is>
          <t>Apple</t>
        </is>
      </c>
      <c r="O1732"/>
    </row>
    <row r="1733" ht="12.75" customHeight="1">
      <c r="A1733" t="inlineStr">
        <is>
          <t xml:space="preserve">รวมคำถาม GALAXY S24 U หลังอัป One UI 7 </t>
        </is>
      </c>
      <c r="B1733" t="inlineStr">
        <is>
          <t>Saktaphat Kordjan</t>
        </is>
      </c>
      <c r="C1733" s="2">
        <v>45812</v>
      </c>
      <c r="D1733" s="2"/>
      <c r="E1733" t="inlineStr">
        <is>
          <t>ปกติ</t>
        </is>
      </c>
      <c r="F1733" s="3"/>
      <c r="G1733"/>
      <c r="H1733" t="inlineStr">
        <is>
          <t>YouTube</t>
        </is>
      </c>
      <c r="I1733" t="inlineStr">
        <is>
          <t>งานประจำวัน, เสนอไอเดีย</t>
        </is>
      </c>
      <c r="J1733" t="inlineStr">
        <is>
          <t>Done</t>
        </is>
      </c>
      <c r="K1733"/>
      <c r="L1733" s="3"/>
      <c r="M1733" t="inlineStr">
        <is>
          <t>1</t>
        </is>
      </c>
      <c r="N1733" t="inlineStr">
        <is>
          <t>Android</t>
        </is>
      </c>
      <c r="O1733"/>
    </row>
    <row r="1734" ht="12.75" customHeight="1">
      <c r="A1734" t="inlineStr">
        <is>
          <t xml:space="preserve">รวมวิธีย้ายรูป/วิดีโอ จาก Android to iOS </t>
        </is>
      </c>
      <c r="B1734" t="inlineStr">
        <is>
          <t>Saktaphat Kordjan</t>
        </is>
      </c>
      <c r="C1734" s="2">
        <v>45812</v>
      </c>
      <c r="D1734" s="2"/>
      <c r="E1734" t="inlineStr">
        <is>
          <t>ปกติ</t>
        </is>
      </c>
      <c r="F1734" s="3"/>
      <c r="G1734"/>
      <c r="H1734" t="inlineStr">
        <is>
          <t>Website, YouTube</t>
        </is>
      </c>
      <c r="I1734" t="inlineStr">
        <is>
          <t>เสนอไอเดีย</t>
        </is>
      </c>
      <c r="J1734" t="inlineStr">
        <is>
          <t>Done</t>
        </is>
      </c>
      <c r="K1734"/>
      <c r="L1734" s="3"/>
      <c r="M1734" t="inlineStr">
        <is>
          <t>1</t>
        </is>
      </c>
      <c r="N1734" t="inlineStr">
        <is>
          <t>Android</t>
        </is>
      </c>
      <c r="O1734"/>
    </row>
    <row r="1735" ht="12.75" customHeight="1">
      <c r="A1735" t="inlineStr">
        <is>
          <t>รวมข่าวลือ iOS 26 ก่อนเปิดตัวในงาน WWDC25</t>
        </is>
      </c>
      <c r="B1735" t="inlineStr">
        <is>
          <t>Thitirath Kinaret</t>
        </is>
      </c>
      <c r="C1735" s="2">
        <v>45812</v>
      </c>
      <c r="D1735" s="2">
        <v>45812</v>
      </c>
      <c r="E1735" t="inlineStr">
        <is>
          <t>ปกติ</t>
        </is>
      </c>
      <c r="F1735" s="3" t="str">
        <f>=HYPERLINK("https://www.macrumors.com/2025/06/03/wwdc-2025-ios-26-rumors/", "https://www.macrumors.com/2025/06/03/wwdc-2025-ios-26-rumors/")</f>
        <v>https://www.macrumors.com/2025/06/03/wwdc-2025-ios-26-rumors/</v>
      </c>
      <c r="G1735"/>
      <c r="H1735" t="inlineStr">
        <is>
          <t>Website</t>
        </is>
      </c>
      <c r="I1735" t="inlineStr">
        <is>
          <t>งานประจำวัน</t>
        </is>
      </c>
      <c r="J1735" t="inlineStr">
        <is>
          <t>Done</t>
        </is>
      </c>
      <c r="K1735"/>
      <c r="L1735" s="3"/>
      <c r="M1735" t="inlineStr">
        <is>
          <t>1</t>
        </is>
      </c>
      <c r="N1735" t="inlineStr">
        <is>
          <t>Apple</t>
        </is>
      </c>
      <c r="O1735"/>
    </row>
    <row r="1736" ht="12.75" customHeight="1">
      <c r="A1736" t="inlineStr">
        <is>
          <t>แอป Nvidia ตอนนี้มีโหมดสว่างแล้ว</t>
        </is>
      </c>
      <c r="B1736" t="inlineStr">
        <is>
          <t>Saktaphat Kordjan</t>
        </is>
      </c>
      <c r="C1736" s="2">
        <v>45812</v>
      </c>
      <c r="D1736" s="2"/>
      <c r="E1736" t="inlineStr">
        <is>
          <t>ปกติ</t>
        </is>
      </c>
      <c r="F1736" s="3" t="str">
        <f>=HYPERLINK("https://www.theverge.com/news/678510/nvidia-app-windows-light-mode-features", "https://www.theverge.com/news/678510/nvidia-app-windows-light-mode-features")</f>
        <v>https://www.theverge.com/news/678510/nvidia-app-windows-light-mode-features</v>
      </c>
      <c r="G1736"/>
      <c r="H1736" t="inlineStr">
        <is>
          <t>Website</t>
        </is>
      </c>
      <c r="I1736" t="inlineStr">
        <is>
          <t>งานประจำวัน</t>
        </is>
      </c>
      <c r="J1736" t="inlineStr">
        <is>
          <t>Done</t>
        </is>
      </c>
      <c r="K1736"/>
      <c r="L1736" s="3"/>
      <c r="M1736" t="inlineStr">
        <is>
          <t>1</t>
        </is>
      </c>
      <c r="N1736" t="inlineStr">
        <is>
          <t>Tech</t>
        </is>
      </c>
      <c r="O1736"/>
    </row>
    <row r="1737" ht="12.75" customHeight="1">
      <c r="A1737" t="inlineStr">
        <is>
          <t>สร้างเสียงได้ไม่ซ้ำใครด้วย SUNO AI</t>
        </is>
      </c>
      <c r="B1737" t="inlineStr">
        <is>
          <t>Nattida Suriyodara,Sasithakan Sritonthip</t>
        </is>
      </c>
      <c r="C1737" s="2">
        <v>45812</v>
      </c>
      <c r="D1737" s="2"/>
      <c r="E1737" t="inlineStr">
        <is>
          <t>ปกติ</t>
        </is>
      </c>
      <c r="F1737" s="3" t="str">
        <f>=HYPERLINK("https://suno.com/create?wid=default", "https://suno.com/create?wid=default")</f>
        <v>https://suno.com/create?wid=default</v>
      </c>
      <c r="G1737"/>
      <c r="H1737" t="inlineStr">
        <is>
          <t>Shorts</t>
        </is>
      </c>
      <c r="I1737" t="inlineStr">
        <is>
          <t>งานประจำวัน, เสนอไอเดีย</t>
        </is>
      </c>
      <c r="J1737" t="inlineStr">
        <is>
          <t>Done</t>
        </is>
      </c>
      <c r="K1737"/>
      <c r="L1737" s="3"/>
      <c r="M1737" t="inlineStr">
        <is>
          <t>1</t>
        </is>
      </c>
      <c r="N1737" t="inlineStr">
        <is>
          <t>AI</t>
        </is>
      </c>
      <c r="O1737"/>
    </row>
    <row r="1738" ht="12.75" customHeight="1">
      <c r="A1738" t="inlineStr">
        <is>
          <t>คลิปสั้น YouTube 20.22.1 ไม่รองรับ iOS 15</t>
        </is>
      </c>
      <c r="B1738" t="inlineStr">
        <is>
          <t>Sasithakan Sritonthip,Saktaphat Kordjan</t>
        </is>
      </c>
      <c r="C1738" s="2">
        <v>45812</v>
      </c>
      <c r="D1738" s="2"/>
      <c r="E1738" t="inlineStr">
        <is>
          <t>ปกติ</t>
        </is>
      </c>
      <c r="F1738" s="3" t="str">
        <f>=HYPERLINK("https://www.iphonemod.net/youtube-app-20-22-1-drop-support-ios-15.html", "https://www.iphonemod.net/youtube-app-20-22-1-drop-support-ios-15.html")</f>
        <v>https://www.iphonemod.net/youtube-app-20-22-1-drop-support-ios-15.html</v>
      </c>
      <c r="G1738"/>
      <c r="H1738" t="inlineStr">
        <is>
          <t>Shorts</t>
        </is>
      </c>
      <c r="I1738" t="inlineStr">
        <is>
          <t>งานประจำวัน</t>
        </is>
      </c>
      <c r="J1738" t="inlineStr">
        <is>
          <t>Done</t>
        </is>
      </c>
      <c r="K1738"/>
      <c r="L1738" s="3"/>
      <c r="M1738" t="inlineStr">
        <is>
          <t>1</t>
        </is>
      </c>
      <c r="N1738" t="inlineStr">
        <is>
          <t>Apple</t>
        </is>
      </c>
      <c r="O1738"/>
    </row>
    <row r="1739" ht="12.75" customHeight="1">
      <c r="A1739" t="inlineStr">
        <is>
          <t>Google เลื่อนการเปิดตัว Pixel 10 ออกไปเล็กน้อย</t>
        </is>
      </c>
      <c r="B1739" t="inlineStr">
        <is>
          <t>Saktaphat Kordjan</t>
        </is>
      </c>
      <c r="C1739" s="2">
        <v>45812</v>
      </c>
      <c r="D1739" s="2">
        <v>45812</v>
      </c>
      <c r="E1739" t="inlineStr">
        <is>
          <t>ปกติ</t>
        </is>
      </c>
      <c r="F1739" s="3" t="str">
        <f>=HYPERLINK("https://www.gsmarena.com/google_apparently_changes_pixel_10_launch_date-news-68091.php", "https://www.gsmarena.com/google_apparently_changes_pixel_10_launch_date-news-68091.php")</f>
        <v>https://www.gsmarena.com/google_apparently_changes_pixel_10_launch_date-news-68091.php</v>
      </c>
      <c r="G1739"/>
      <c r="H1739" t="inlineStr">
        <is>
          <t>Website</t>
        </is>
      </c>
      <c r="I1739" t="inlineStr">
        <is>
          <t>งานประจำวัน</t>
        </is>
      </c>
      <c r="J1739" t="inlineStr">
        <is>
          <t>Done</t>
        </is>
      </c>
      <c r="K1739"/>
      <c r="L1739" s="3"/>
      <c r="M1739" t="inlineStr">
        <is>
          <t>1</t>
        </is>
      </c>
      <c r="N1739" t="inlineStr">
        <is>
          <t>Android</t>
        </is>
      </c>
      <c r="O1739"/>
    </row>
    <row r="1740" ht="12.75" customHeight="1">
      <c r="A1740" t="inlineStr">
        <is>
          <t>Nio ET9 ได้รับคะแนนความพร้อม Software-Defined Vehicle (SDV) ระดับ 5 สูงสุดในปี 2025</t>
        </is>
      </c>
      <c r="B1740" t="inlineStr">
        <is>
          <t>Sakura</t>
        </is>
      </c>
      <c r="C1740" s="2">
        <v>45812</v>
      </c>
      <c r="D1740" s="2">
        <v>45812</v>
      </c>
      <c r="E1740" t="inlineStr">
        <is>
          <t>ปกติ</t>
        </is>
      </c>
      <c r="F1740" s="3" t="str">
        <f>=HYPERLINK("https://www.facebook.com/iPhonemod/posts/pfbid02eVwq5YFRxfyzojNuVChQF7GiegaTpVfi27p2cQZgFfDkDNnQssNLTjNBtDBbnL5Vl", "https://www.facebook.com/iPhonemod/posts/pfbid02eVwq5YFRxfyzojNuVChQF7GiegaTpVfi27p2cQZgFfDkDNnQssNLTjNBtDBbnL5Vl")</f>
        <v>https://www.facebook.com/iPhonemod/posts/pfbid02eVwq5YFRxfyzojNuVChQF7GiegaTpVfi27p2cQZgFfDkDNnQssNLTjNBtDBbnL5Vl</v>
      </c>
      <c r="G1740"/>
      <c r="H1740" t="inlineStr">
        <is>
          <t>Website, Pic Posts / Album</t>
        </is>
      </c>
      <c r="I1740" t="inlineStr">
        <is>
          <t>งานประจำวัน</t>
        </is>
      </c>
      <c r="J1740" t="inlineStr">
        <is>
          <t>Done</t>
        </is>
      </c>
      <c r="K1740"/>
      <c r="L1740" s="3" t="str">
        <f>=HYPERLINK("https://ev.iphonemod.net/nio-et-9-got-top-sdv-5-star-2025/", "https://ev.iphonemod.net/nio-et-9-got-top-sdv-5-star-2025/")</f>
        <v>https://ev.iphonemod.net/nio-et-9-got-top-sdv-5-star-2025/</v>
      </c>
      <c r="M1740" t="inlineStr">
        <is>
          <t>1</t>
        </is>
      </c>
      <c r="N1740" t="inlineStr">
        <is>
          <t>EV</t>
        </is>
      </c>
      <c r="O1740"/>
    </row>
    <row r="1741" ht="12.75" customHeight="1">
      <c r="A1741" t="inlineStr">
        <is>
          <t>Tesla เปิดขาย ไฟส่องพื้นโลโก้ Model 3 Performance เล่นสีฟ้าขาว ราคา 75 ดอลลาร์สหรัฐฯ</t>
        </is>
      </c>
      <c r="B1741" t="inlineStr">
        <is>
          <t>Sakura</t>
        </is>
      </c>
      <c r="C1741" s="2">
        <v>45812</v>
      </c>
      <c r="D1741" s="2">
        <v>45812</v>
      </c>
      <c r="E1741" t="inlineStr">
        <is>
          <t>ปกติ</t>
        </is>
      </c>
      <c r="F1741" s="3" t="str">
        <f>=HYPERLINK("https://www.facebook.com/iPhonemod/posts/pfbid0D3D2GHd5yqnqp79QZLzE257JzJHjt4BJPUuXuzb6UD5rzv9S2dTRKszLKudZn4WTl", "https://www.facebook.com/iPhonemod/posts/pfbid0D3D2GHd5yqnqp79QZLzE257JzJHjt4BJPUuXuzb6UD5rzv9S2dTRKszLKudZn4WTl")</f>
        <v>https://www.facebook.com/iPhonemod/posts/pfbid0D3D2GHd5yqnqp79QZLzE257JzJHjt4BJPUuXuzb6UD5rzv9S2dTRKszLKudZn4WTl</v>
      </c>
      <c r="G1741"/>
      <c r="H1741" t="inlineStr">
        <is>
          <t>Website, Pic Posts / Album</t>
        </is>
      </c>
      <c r="I1741" t="inlineStr">
        <is>
          <t>งานประจำวัน</t>
        </is>
      </c>
      <c r="J1741" t="inlineStr">
        <is>
          <t>Done</t>
        </is>
      </c>
      <c r="K1741"/>
      <c r="L1741" s="3" t="str">
        <f>=HYPERLINK("https://ev.iphonemod.net/tesla-launched-model-3-performance-projection-lights-us/", "https://ev.iphonemod.net/tesla-launched-model-3-performance-projection-lights-us/")</f>
        <v>https://ev.iphonemod.net/tesla-launched-model-3-performance-projection-lights-us/</v>
      </c>
      <c r="M1741" t="inlineStr">
        <is>
          <t>1</t>
        </is>
      </c>
      <c r="N1741" t="inlineStr">
        <is>
          <t>EV</t>
        </is>
      </c>
      <c r="O1741"/>
    </row>
    <row r="1742" ht="12.75" customHeight="1">
      <c r="A1742" t="inlineStr">
        <is>
          <t>Nissan เผยภาพใหม่ LEAF EV รุ่นต่อไป ยืนยันเปิดตัวทั่วโลกปลายเดือนนี้</t>
        </is>
      </c>
      <c r="B1742" t="inlineStr">
        <is>
          <t>Sakura</t>
        </is>
      </c>
      <c r="C1742" s="2">
        <v>45812</v>
      </c>
      <c r="D1742" s="2">
        <v>45812</v>
      </c>
      <c r="E1742" t="inlineStr">
        <is>
          <t>ปกติ</t>
        </is>
      </c>
      <c r="F1742" s="3" t="str">
        <f>=HYPERLINK("https://ev.iphonemod.net/nissan-leaf-ev-new-photo-before-global-launch-end-of-june-2025/", "https://ev.iphonemod.net/nissan-leaf-ev-new-photo-before-global-launch-end-of-june-2025/")</f>
        <v>https://ev.iphonemod.net/nissan-leaf-ev-new-photo-before-global-launch-end-of-june-2025/</v>
      </c>
      <c r="G1742"/>
      <c r="H1742" t="inlineStr">
        <is>
          <t>Website</t>
        </is>
      </c>
      <c r="I1742" t="inlineStr">
        <is>
          <t>งานประจำวัน</t>
        </is>
      </c>
      <c r="J1742" t="inlineStr">
        <is>
          <t>Done</t>
        </is>
      </c>
      <c r="K1742"/>
      <c r="L1742" s="3" t="str">
        <f>=HYPERLINK("https://ev.iphonemod.net/nissan-leaf-ev-new-photo-before-global-launch-end-of-june-2025/", "https://ev.iphonemod.net/nissan-leaf-ev-new-photo-before-global-launch-end-of-june-2025/")</f>
        <v>https://ev.iphonemod.net/nissan-leaf-ev-new-photo-before-global-launch-end-of-june-2025/</v>
      </c>
      <c r="M1742" t="inlineStr">
        <is>
          <t>1</t>
        </is>
      </c>
      <c r="N1742" t="inlineStr">
        <is>
          <t>EV</t>
        </is>
      </c>
      <c r="O1742"/>
    </row>
    <row r="1743" ht="12.75" customHeight="1">
      <c r="A1743" t="inlineStr">
        <is>
          <t>ชวนแฟน ๆ F1 มาเปิดโลก Monaco Grand Prix แบบ 3D บน Apple Maps</t>
        </is>
      </c>
      <c r="B1743" t="inlineStr">
        <is>
          <t>Sakura</t>
        </is>
      </c>
      <c r="C1743" s="2">
        <v>45812</v>
      </c>
      <c r="D1743" s="2">
        <v>45812</v>
      </c>
      <c r="E1743" t="inlineStr">
        <is>
          <t>ปกติ</t>
        </is>
      </c>
      <c r="F1743" s="3"/>
      <c r="G1743"/>
      <c r="H1743" t="inlineStr">
        <is>
          <t>Pic Posts / Album</t>
        </is>
      </c>
      <c r="I1743" t="inlineStr">
        <is>
          <t>งานประจำวัน</t>
        </is>
      </c>
      <c r="J1743" t="inlineStr">
        <is>
          <t>Done</t>
        </is>
      </c>
      <c r="K1743"/>
      <c r="L1743" s="3" t="str">
        <f>=HYPERLINK("https://www.facebook.com/iPhonemod/posts/pfbid09MGMMG6bJcYYaDBcdQYS1NggX8uR4MKwNogbDirDcX4j4JzM5ySiPnJEAxQy8YVfl", "https://www.facebook.com/iPhonemod/posts/pfbid09MGMMG6bJcYYaDBcdQYS1NggX8uR4MKwNogbDirDcX4j4JzM5ySiPnJEAxQy8YVfl")</f>
        <v>https://www.facebook.com/iPhonemod/posts/pfbid09MGMMG6bJcYYaDBcdQYS1NggX8uR4MKwNogbDirDcX4j4JzM5ySiPnJEAxQy8YVfl</v>
      </c>
      <c r="M1743" t="inlineStr">
        <is>
          <t>1</t>
        </is>
      </c>
      <c r="N1743" t="inlineStr">
        <is>
          <t>Apple</t>
        </is>
      </c>
      <c r="O1743"/>
    </row>
    <row r="1744" ht="12.75" customHeight="1">
      <c r="A1744" t="inlineStr">
        <is>
          <t>macOS 26 ใหม่ อาจใช้ชื่อว่า Tahoe มาชมคาดการณ์ฟีเจอร์ใหม่กัน!</t>
        </is>
      </c>
      <c r="B1744" t="inlineStr">
        <is>
          <t>Sakura</t>
        </is>
      </c>
      <c r="C1744" s="2">
        <v>45812</v>
      </c>
      <c r="D1744" s="2">
        <v>45812</v>
      </c>
      <c r="E1744" t="inlineStr">
        <is>
          <t>ปกติ</t>
        </is>
      </c>
      <c r="F1744" s="3"/>
      <c r="G1744"/>
      <c r="H1744" t="inlineStr">
        <is>
          <t>Website</t>
        </is>
      </c>
      <c r="I1744" t="inlineStr">
        <is>
          <t>งานประจำวัน</t>
        </is>
      </c>
      <c r="J1744" t="inlineStr">
        <is>
          <t>Done</t>
        </is>
      </c>
      <c r="K1744"/>
      <c r="L1744" s="3" t="str">
        <f>=HYPERLINK("https://www.iphonemod.net/macos-26-tahoe-expected-wwdc25.html", "https://www.iphonemod.net/macos-26-tahoe-expected-wwdc25.html")</f>
        <v>https://www.iphonemod.net/macos-26-tahoe-expected-wwdc25.html</v>
      </c>
      <c r="M1744" t="inlineStr">
        <is>
          <t>1</t>
        </is>
      </c>
      <c r="N1744" t="inlineStr">
        <is>
          <t>Apple</t>
        </is>
      </c>
      <c r="O1744"/>
    </row>
    <row r="1745" ht="12.75" customHeight="1">
      <c r="A1745" t="inlineStr">
        <is>
          <t>เปิดตัว Audi Q8L e-tron ได้เทคโนโลยีจาก Huawei โดย FAW Audi บุกตลาดจีนโดยเฉพาะ</t>
        </is>
      </c>
      <c r="B1745" t="inlineStr">
        <is>
          <t>Nuttanon</t>
        </is>
      </c>
      <c r="C1745" s="2">
        <v>45812</v>
      </c>
      <c r="D1745" s="2">
        <v>45812</v>
      </c>
      <c r="E1745" t="inlineStr">
        <is>
          <t>ปกติ</t>
        </is>
      </c>
      <c r="F1745" s="3"/>
      <c r="G1745"/>
      <c r="H1745" t="inlineStr">
        <is>
          <t>Website</t>
        </is>
      </c>
      <c r="I1745" t="inlineStr">
        <is>
          <t>งานประจำวัน</t>
        </is>
      </c>
      <c r="J1745" t="inlineStr">
        <is>
          <t>Done</t>
        </is>
      </c>
      <c r="K1745"/>
      <c r="L1745" s="3" t="str">
        <f>=HYPERLINK("https://ev.iphonemod.net/audi-q8l-e-tron-by-faw-in-china/", "https://ev.iphonemod.net/audi-q8l-e-tron-by-faw-in-china/")</f>
        <v>https://ev.iphonemod.net/audi-q8l-e-tron-by-faw-in-china/</v>
      </c>
      <c r="M1745" t="inlineStr">
        <is>
          <t>1</t>
        </is>
      </c>
      <c r="N1745" t="inlineStr">
        <is>
          <t>EV</t>
        </is>
      </c>
      <c r="O1745"/>
    </row>
    <row r="1746" ht="12.75" customHeight="1">
      <c r="A1746" t="inlineStr">
        <is>
          <t>XPENG เตรียมใช้ระบบแสดงผลจาก Huawei ในรถรุ่นใหม่ ความร่วมมือที่ไม่คาดคิด</t>
        </is>
      </c>
      <c r="B1746" t="inlineStr">
        <is>
          <t>Nuttanon,Sakura</t>
        </is>
      </c>
      <c r="C1746" s="2">
        <v>45812</v>
      </c>
      <c r="D1746" s="2">
        <v>45812</v>
      </c>
      <c r="E1746" t="inlineStr">
        <is>
          <t>ปกติ</t>
        </is>
      </c>
      <c r="F1746" s="3"/>
      <c r="G1746"/>
      <c r="H1746" t="inlineStr">
        <is>
          <t>Website, Pic Posts / Album</t>
        </is>
      </c>
      <c r="I1746" t="inlineStr">
        <is>
          <t>งานประจำวัน</t>
        </is>
      </c>
      <c r="J1746" t="inlineStr">
        <is>
          <t>Done</t>
        </is>
      </c>
      <c r="K1746"/>
      <c r="L1746" s="3" t="str">
        <f>=HYPERLINK("https://ev.iphonemod.net/xpeng-x-huawei-in-car-display-solution/", "https://ev.iphonemod.net/xpeng-x-huawei-in-car-display-solution/")</f>
        <v>https://ev.iphonemod.net/xpeng-x-huawei-in-car-display-solution/</v>
      </c>
      <c r="M1746" t="inlineStr">
        <is>
          <t>1</t>
        </is>
      </c>
      <c r="N1746" t="inlineStr">
        <is>
          <t>EV</t>
        </is>
      </c>
      <c r="O1746"/>
    </row>
    <row r="1747" ht="12.75" customHeight="1">
      <c r="A1747" t="inlineStr">
        <is>
          <t>Apple เปิดโลก Monaco Grand Prix แบบ 3D บน Apple Maps สำรวจสนามแข่ง F1 แบบใกล้ชิดได้แล้ว พร้อมโปรโมทหนัง F1</t>
        </is>
      </c>
      <c r="B1747" t="inlineStr">
        <is>
          <t>Nuttanon</t>
        </is>
      </c>
      <c r="C1747" s="2">
        <v>45812</v>
      </c>
      <c r="D1747" s="2">
        <v>45812</v>
      </c>
      <c r="E1747" t="inlineStr">
        <is>
          <t>ปกติ</t>
        </is>
      </c>
      <c r="F1747" s="3"/>
      <c r="G1747"/>
      <c r="H1747" t="inlineStr">
        <is>
          <t>Website</t>
        </is>
      </c>
      <c r="I1747" t="inlineStr">
        <is>
          <t>งานประจำวัน</t>
        </is>
      </c>
      <c r="J1747" t="inlineStr">
        <is>
          <t>Done</t>
        </is>
      </c>
      <c r="K1747"/>
      <c r="L1747" s="3" t="str">
        <f>=HYPERLINK("https://ev.iphonemod.net/apple-3d-monaco-f1-circuit-in-apple-maps/", "https://ev.iphonemod.net/apple-3d-monaco-f1-circuit-in-apple-maps/")</f>
        <v>https://ev.iphonemod.net/apple-3d-monaco-f1-circuit-in-apple-maps/</v>
      </c>
      <c r="M1747" t="inlineStr">
        <is>
          <t>1</t>
        </is>
      </c>
      <c r="N1747" t="inlineStr">
        <is>
          <t>Apple</t>
        </is>
      </c>
      <c r="O1747"/>
    </row>
    <row r="1748" ht="12.75" customHeight="1">
      <c r="A1748" t="inlineStr">
        <is>
          <t>เปิดตัว Toyota Aygo X Hybrid โฉมใหม่ รถยนต์ไฮบริดขนาดเล็กที่ปล่อยมลพิษน้อยที่สุดในตลาด</t>
        </is>
      </c>
      <c r="B1748" t="inlineStr">
        <is>
          <t>Nuttanon</t>
        </is>
      </c>
      <c r="C1748" s="2">
        <v>45812</v>
      </c>
      <c r="D1748" s="2">
        <v>45812</v>
      </c>
      <c r="E1748" t="inlineStr">
        <is>
          <t>ปกติ</t>
        </is>
      </c>
      <c r="F1748" s="3"/>
      <c r="G1748"/>
      <c r="H1748" t="inlineStr">
        <is>
          <t>Website</t>
        </is>
      </c>
      <c r="I1748" t="inlineStr">
        <is>
          <t>งานประจำวัน</t>
        </is>
      </c>
      <c r="J1748" t="inlineStr">
        <is>
          <t>Done</t>
        </is>
      </c>
      <c r="K1748"/>
      <c r="L1748" s="3" t="str">
        <f>=HYPERLINK("https://ev.iphonemod.net/toyota-aygo-x-hybrid-2025-launch/", "https://ev.iphonemod.net/toyota-aygo-x-hybrid-2025-launch/")</f>
        <v>https://ev.iphonemod.net/toyota-aygo-x-hybrid-2025-launch/</v>
      </c>
      <c r="M1748" t="inlineStr">
        <is>
          <t>1</t>
        </is>
      </c>
      <c r="N1748" t="inlineStr">
        <is>
          <t>EV</t>
        </is>
      </c>
      <c r="O1748"/>
    </row>
    <row r="1749" ht="12.75" customHeight="1">
      <c r="A1749" t="inlineStr">
        <is>
          <t>บริษัท พระนครยนตรการ จำกัด (PNA) ประกาศแต่งตั้ง “คุณธีระพันธุ์ ละอองศรี” เป็น General Manager ของ Leapmotor</t>
        </is>
      </c>
      <c r="B1749" t="inlineStr">
        <is>
          <t>Nuttanon</t>
        </is>
      </c>
      <c r="C1749" s="2">
        <v>45812</v>
      </c>
      <c r="D1749" s="2">
        <v>45812</v>
      </c>
      <c r="E1749" t="inlineStr">
        <is>
          <t>ปกติ</t>
        </is>
      </c>
      <c r="F1749" s="3"/>
      <c r="G1749"/>
      <c r="H1749" t="inlineStr">
        <is>
          <t>Website</t>
        </is>
      </c>
      <c r="I1749" t="inlineStr">
        <is>
          <t>งานประจำวัน</t>
        </is>
      </c>
      <c r="J1749" t="inlineStr">
        <is>
          <t>Done</t>
        </is>
      </c>
      <c r="K1749"/>
      <c r="L1749" s="3" t="str">
        <f>=HYPERLINK("https://ev.iphonemod.net/pna-new-general-manager-of-leapmotor-thailand/", "https://ev.iphonemod.net/pna-new-general-manager-of-leapmotor-thailand/")</f>
        <v>https://ev.iphonemod.net/pna-new-general-manager-of-leapmotor-thailand/</v>
      </c>
      <c r="M1749" t="inlineStr">
        <is>
          <t>1</t>
        </is>
      </c>
      <c r="N1749" t="inlineStr">
        <is>
          <t>EV, PR</t>
        </is>
      </c>
      <c r="O1749"/>
    </row>
    <row r="1750" ht="12.75" customHeight="1">
      <c r="A1750" t="inlineStr">
        <is>
          <t>Apple Maps จำลอง 3D สนามแข่ง F1 ในตำนานอย่าง Monaco Circuit มี Pit Lane, รถ F1, สถานที่สำคัญ พร้อมรวดโปรโมทหนัง F1 บน Billboard</t>
        </is>
      </c>
      <c r="B1750" t="inlineStr">
        <is>
          <t>Nuttanon</t>
        </is>
      </c>
      <c r="C1750" s="2">
        <v>45812</v>
      </c>
      <c r="D1750" s="2">
        <v>45812</v>
      </c>
      <c r="E1750" t="inlineStr">
        <is>
          <t>ปกติ</t>
        </is>
      </c>
      <c r="F1750" s="3"/>
      <c r="G1750"/>
      <c r="H1750" t="inlineStr">
        <is>
          <t>Shorts</t>
        </is>
      </c>
      <c r="I1750" t="inlineStr">
        <is>
          <t>งานประจำวัน</t>
        </is>
      </c>
      <c r="J1750" t="inlineStr">
        <is>
          <t>Done</t>
        </is>
      </c>
      <c r="K1750"/>
      <c r="L1750" s="3" t="str">
        <f>=HYPERLINK("https://www.facebook.com/reel/1915618482309082", "https://www.facebook.com/reel/1915618482309082")</f>
        <v>https://www.facebook.com/reel/1915618482309082</v>
      </c>
      <c r="M1750" t="inlineStr">
        <is>
          <t>1</t>
        </is>
      </c>
      <c r="N1750" t="inlineStr">
        <is>
          <t>Apple</t>
        </is>
      </c>
      <c r="O1750"/>
    </row>
    <row r="1751" ht="12.75" customHeight="1">
      <c r="A1751" t="inlineStr">
        <is>
          <t>รวม AI ใช้ฟรี อัปเดต 2025</t>
        </is>
      </c>
      <c r="B1751" t="inlineStr">
        <is>
          <t>Nattida Suriyodara</t>
        </is>
      </c>
      <c r="C1751" s="2">
        <v>45812</v>
      </c>
      <c r="D1751" s="2"/>
      <c r="E1751" t="inlineStr">
        <is>
          <t>ปกติ</t>
        </is>
      </c>
      <c r="F1751" s="3"/>
      <c r="G1751"/>
      <c r="H1751" t="inlineStr">
        <is>
          <t>Website</t>
        </is>
      </c>
      <c r="I1751" t="inlineStr">
        <is>
          <t>งานประจำวัน, เสนอไอเดีย</t>
        </is>
      </c>
      <c r="J1751" t="inlineStr">
        <is>
          <t>Done</t>
        </is>
      </c>
      <c r="K1751"/>
      <c r="L1751" s="3"/>
      <c r="M1751" t="inlineStr">
        <is>
          <t>1</t>
        </is>
      </c>
      <c r="N1751" t="inlineStr">
        <is>
          <t>AI</t>
        </is>
      </c>
      <c r="O1751"/>
    </row>
    <row r="1752" ht="12.75" customHeight="1">
      <c r="A1752" t="inlineStr">
        <is>
          <t xml:space="preserve">AI What I choose </t>
        </is>
      </c>
      <c r="B1752" t="inlineStr">
        <is>
          <t>Nattida Suriyodara</t>
        </is>
      </c>
      <c r="C1752" s="2">
        <v>45812</v>
      </c>
      <c r="D1752" s="2"/>
      <c r="E1752" t="inlineStr">
        <is>
          <t>ปกติ</t>
        </is>
      </c>
      <c r="F1752" s="3"/>
      <c r="G1752"/>
      <c r="H1752" t="inlineStr">
        <is>
          <t>Shorts</t>
        </is>
      </c>
      <c r="I1752" t="inlineStr">
        <is>
          <t>เสนอไอเดีย</t>
        </is>
      </c>
      <c r="J1752" t="inlineStr">
        <is>
          <t>Done</t>
        </is>
      </c>
      <c r="K1752" t="inlineStr">
        <is>
          <t>- ถามเร็วตอบเร็ว
- แยกเป็นหมวดหมู่ เช่น สร้างรูป, เขียนบทความม วิดีโอ
</t>
        </is>
      </c>
      <c r="L1752" s="3"/>
      <c r="M1752" t="inlineStr">
        <is>
          <t>1</t>
        </is>
      </c>
      <c r="N1752" t="inlineStr">
        <is>
          <t>AI</t>
        </is>
      </c>
      <c r="O1752"/>
    </row>
    <row r="1753" ht="12.75" customHeight="1">
      <c r="A1753" t="inlineStr">
        <is>
          <t>Samsung ปล่อยทีเซอร์ Galaxy Z Fold 7</t>
        </is>
      </c>
      <c r="B1753" t="inlineStr">
        <is>
          <t>Saktaphat Kordjan</t>
        </is>
      </c>
      <c r="C1753" s="2">
        <v>45812</v>
      </c>
      <c r="D1753" s="2">
        <v>45812</v>
      </c>
      <c r="E1753" t="inlineStr">
        <is>
          <t>ปกติ</t>
        </is>
      </c>
      <c r="F1753" s="3" t="str">
        <f>=HYPERLINK("https://news.samsung.com/us/samsung-galaxy-meet-the-next-chapter-of-ultra/", "https://news.samsung.com/us/samsung-galaxy-meet-the-next-chapter-of-ultra/")</f>
        <v>https://news.samsung.com/us/samsung-galaxy-meet-the-next-chapter-of-ultra/</v>
      </c>
      <c r="G1753"/>
      <c r="H1753" t="inlineStr">
        <is>
          <t>Website, Pic Posts / Album</t>
        </is>
      </c>
      <c r="I1753" t="inlineStr">
        <is>
          <t>งานประจำวัน</t>
        </is>
      </c>
      <c r="J1753" t="inlineStr">
        <is>
          <t>Done</t>
        </is>
      </c>
      <c r="K1753"/>
      <c r="L1753" s="3"/>
      <c r="M1753" t="inlineStr">
        <is>
          <t>1</t>
        </is>
      </c>
      <c r="N1753" t="inlineStr">
        <is>
          <t>Android, PR</t>
        </is>
      </c>
      <c r="O1753"/>
    </row>
    <row r="1754" ht="12.75" customHeight="1">
      <c r="A1754" t="inlineStr">
        <is>
          <t>XPENG โชว์ทดสอบระบบขับขี่อัจฉริยะ AI ในรถ MONA M03 MAX</t>
        </is>
      </c>
      <c r="B1754" t="inlineStr">
        <is>
          <t>Nuttanon</t>
        </is>
      </c>
      <c r="C1754" s="2">
        <v>45812</v>
      </c>
      <c r="D1754" s="2">
        <v>45812</v>
      </c>
      <c r="E1754" t="inlineStr">
        <is>
          <t>ปกติ</t>
        </is>
      </c>
      <c r="F1754" s="3"/>
      <c r="G1754"/>
      <c r="H1754" t="inlineStr">
        <is>
          <t>Shorts</t>
        </is>
      </c>
      <c r="I1754" t="inlineStr">
        <is>
          <t>งานประจำวัน</t>
        </is>
      </c>
      <c r="J1754" t="inlineStr">
        <is>
          <t>Done</t>
        </is>
      </c>
      <c r="K1754"/>
      <c r="L1754" s="3" t="str">
        <f>=HYPERLINK("https://www.facebook.com/reel/1147449540473873", "https://www.facebook.com/reel/1147449540473873")</f>
        <v>https://www.facebook.com/reel/1147449540473873</v>
      </c>
      <c r="M1754" t="inlineStr">
        <is>
          <t>1</t>
        </is>
      </c>
      <c r="N1754" t="inlineStr">
        <is>
          <t>EV</t>
        </is>
      </c>
      <c r="O1754"/>
    </row>
    <row r="1755" ht="12.75" customHeight="1">
      <c r="A1755" t="inlineStr">
        <is>
          <t>FAW-Volkswagen เตรียมเปิดตัวรถ NEV ใหม่ 2 รุ่นภายในปี 2027 สำหรับตลาดจีนเท่านั้น</t>
        </is>
      </c>
      <c r="B1755" t="inlineStr">
        <is>
          <t>Nuttanon</t>
        </is>
      </c>
      <c r="C1755" s="2">
        <v>45812</v>
      </c>
      <c r="D1755" s="2">
        <v>45812</v>
      </c>
      <c r="E1755" t="inlineStr">
        <is>
          <t>ปกติ</t>
        </is>
      </c>
      <c r="F1755" s="3"/>
      <c r="G1755"/>
      <c r="H1755" t="inlineStr">
        <is>
          <t>Website</t>
        </is>
      </c>
      <c r="I1755" t="inlineStr">
        <is>
          <t>งานประจำวัน</t>
        </is>
      </c>
      <c r="J1755" t="inlineStr">
        <is>
          <t>Done</t>
        </is>
      </c>
      <c r="K1755"/>
      <c r="L1755" s="3" t="str">
        <f>=HYPERLINK("https://ev.iphonemod.net/faw-volkswagen-will-launch-2-new-nev-in-2027/", "https://ev.iphonemod.net/faw-volkswagen-will-launch-2-new-nev-in-2027/")</f>
        <v>https://ev.iphonemod.net/faw-volkswagen-will-launch-2-new-nev-in-2027/</v>
      </c>
      <c r="M1755" t="inlineStr">
        <is>
          <t>1</t>
        </is>
      </c>
      <c r="N1755" t="inlineStr">
        <is>
          <t>EV</t>
        </is>
      </c>
      <c r="O1755"/>
    </row>
    <row r="1756" ht="12.75" customHeight="1">
      <c r="A1756" t="inlineStr">
        <is>
          <t>Apple เผย Teaser ใหม่ "Sleek Peek" งาน WWDC25</t>
        </is>
      </c>
      <c r="B1756" t="inlineStr">
        <is>
          <t>Thitirath Kinaret</t>
        </is>
      </c>
      <c r="C1756" s="2">
        <v>45811</v>
      </c>
      <c r="D1756" s="2">
        <v>45811</v>
      </c>
      <c r="E1756" t="inlineStr">
        <is>
          <t>ปกติ</t>
        </is>
      </c>
      <c r="F1756" s="3" t="str">
        <f>=HYPERLINK("https://www.iphonemod.net/apple-teaser-sleek-peek-wwdc25.html", "https://www.iphonemod.net/apple-teaser-sleek-peek-wwdc25.html")</f>
        <v>https://www.iphonemod.net/apple-teaser-sleek-peek-wwdc25.html</v>
      </c>
      <c r="G1756"/>
      <c r="H1756" t="inlineStr">
        <is>
          <t>Website, Pic Posts / Album</t>
        </is>
      </c>
      <c r="I1756" t="inlineStr">
        <is>
          <t>งานประจำวัน</t>
        </is>
      </c>
      <c r="J1756" t="inlineStr">
        <is>
          <t>Done</t>
        </is>
      </c>
      <c r="K1756"/>
      <c r="L1756" s="3"/>
      <c r="M1756" t="inlineStr">
        <is>
          <t>1</t>
        </is>
      </c>
      <c r="N1756" t="inlineStr">
        <is>
          <t>Apple</t>
        </is>
      </c>
      <c r="O1756"/>
    </row>
    <row r="1757" ht="12.75" customHeight="1">
      <c r="A1757" t="inlineStr">
        <is>
          <t>Instagram สำหรับ iPad อาจเปิดให้โหลดปลายปี 2025 นี้</t>
        </is>
      </c>
      <c r="B1757" t="inlineStr">
        <is>
          <t>Thitirath Kinaret</t>
        </is>
      </c>
      <c r="C1757" s="2">
        <v>45811</v>
      </c>
      <c r="D1757" s="2">
        <v>45811</v>
      </c>
      <c r="E1757" t="inlineStr">
        <is>
          <t>ปกติ</t>
        </is>
      </c>
      <c r="F1757" s="3" t="str">
        <f>=HYPERLINK("https://www.iphonemod.net/instagram-for-ipad-coming-late-2025-report.html", "https://www.iphonemod.net/instagram-for-ipad-coming-late-2025-report.html")</f>
        <v>https://www.iphonemod.net/instagram-for-ipad-coming-late-2025-report.html</v>
      </c>
      <c r="G1757"/>
      <c r="H1757" t="inlineStr">
        <is>
          <t>Website, Pic Posts / Album</t>
        </is>
      </c>
      <c r="I1757" t="inlineStr">
        <is>
          <t>งานประจำวัน</t>
        </is>
      </c>
      <c r="J1757" t="inlineStr">
        <is>
          <t>Done</t>
        </is>
      </c>
      <c r="K1757"/>
      <c r="L1757" s="3"/>
      <c r="M1757" t="inlineStr">
        <is>
          <t>1</t>
        </is>
      </c>
      <c r="N1757" t="inlineStr">
        <is>
          <t>Apple</t>
        </is>
      </c>
      <c r="O1757"/>
    </row>
    <row r="1758" ht="12.75" customHeight="1">
      <c r="A1758" t="inlineStr">
        <is>
          <t>YouTube เวอร์ชัน 20.22.1 ไม่รองรับ iOS 15 (iPhone 7 และเก่ากว่า)</t>
        </is>
      </c>
      <c r="B1758" t="inlineStr">
        <is>
          <t>Thitirath Kinaret</t>
        </is>
      </c>
      <c r="C1758" s="2">
        <v>45811</v>
      </c>
      <c r="D1758" s="2">
        <v>45811</v>
      </c>
      <c r="E1758" t="inlineStr">
        <is>
          <t>ปกติ</t>
        </is>
      </c>
      <c r="F1758" s="3" t="str">
        <f>=HYPERLINK("https://www.iphonemod.net/youtube-app-20-22-1-drop-support-ios-15.html", "https://www.iphonemod.net/youtube-app-20-22-1-drop-support-ios-15.html")</f>
        <v>https://www.iphonemod.net/youtube-app-20-22-1-drop-support-ios-15.html</v>
      </c>
      <c r="G1758"/>
      <c r="H1758" t="inlineStr">
        <is>
          <t>Website, Pic Posts / Album</t>
        </is>
      </c>
      <c r="I1758" t="inlineStr">
        <is>
          <t>งานประจำวัน</t>
        </is>
      </c>
      <c r="J1758" t="inlineStr">
        <is>
          <t>Done</t>
        </is>
      </c>
      <c r="K1758"/>
      <c r="L1758" s="3"/>
      <c r="M1758" t="inlineStr">
        <is>
          <t>1</t>
        </is>
      </c>
      <c r="N1758" t="inlineStr">
        <is>
          <t>Apple</t>
        </is>
      </c>
      <c r="O1758"/>
    </row>
    <row r="1759" ht="12.75" customHeight="1">
      <c r="A1759" t="inlineStr">
        <is>
          <t>Geely เปิดตัวรถกระบะ Radar King Kong EM-P (PHEV) รุ่นใหม่ วิ่งไกล 1,068 กม.เตรียมลุยตลาดโลกในชื่อ Riddara RD6 EM-P</t>
        </is>
      </c>
      <c r="B1759" t="inlineStr">
        <is>
          <t>Sakura</t>
        </is>
      </c>
      <c r="C1759" s="2">
        <v>45810</v>
      </c>
      <c r="D1759" s="2">
        <v>45810</v>
      </c>
      <c r="E1759" t="inlineStr">
        <is>
          <t>ปกติ</t>
        </is>
      </c>
      <c r="F1759" s="3"/>
      <c r="G1759"/>
      <c r="H1759" t="inlineStr">
        <is>
          <t>Website</t>
        </is>
      </c>
      <c r="I1759" t="inlineStr">
        <is>
          <t>งานประจำวัน</t>
        </is>
      </c>
      <c r="J1759" t="inlineStr">
        <is>
          <t>Done</t>
        </is>
      </c>
      <c r="K1759"/>
      <c r="L1759" s="3" t="str">
        <f>=HYPERLINK("https://ev.iphonemod.net/geely-launch-riddara-rd-6-mp-p-china/", "https://ev.iphonemod.net/geely-launch-riddara-rd-6-mp-p-china/")</f>
        <v>https://ev.iphonemod.net/geely-launch-riddara-rd-6-mp-p-china/</v>
      </c>
      <c r="M1759" t="inlineStr">
        <is>
          <t>1</t>
        </is>
      </c>
      <c r="N1759" t="inlineStr">
        <is>
          <t>EV</t>
        </is>
      </c>
      <c r="O1759"/>
    </row>
    <row r="1760" ht="12.75" customHeight="1">
      <c r="A1760" t="inlineStr">
        <is>
          <t>Tesla เริ่มเปิดใช้ฟีเจอร์ความปลอดภัยใหม่ ตรวจจับและแจ้งเตือนเมื่อพบว่าเด็กอยู่ในรถ</t>
        </is>
      </c>
      <c r="B1760" t="inlineStr">
        <is>
          <t>Sakura</t>
        </is>
      </c>
      <c r="C1760" s="2">
        <v>45810</v>
      </c>
      <c r="D1760" s="2">
        <v>45810</v>
      </c>
      <c r="E1760" t="inlineStr">
        <is>
          <t>ปกติ</t>
        </is>
      </c>
      <c r="F1760" s="3" t="str">
        <f>=HYPERLINK("https://www.facebook.com/iPhonemod/posts/pfbid03JhYEzUjigXFSmfhzsi2ZXHikoRM53GuEiBQi1UhVQ7BSyBQAqQjmYCdzW7jy4jNl", "https://www.facebook.com/iPhonemod/posts/pfbid03JhYEzUjigXFSmfhzsi2ZXHikoRM53GuEiBQi1UhVQ7BSyBQAqQjmYCdzW7jy4jNl")</f>
        <v>https://www.facebook.com/iPhonemod/posts/pfbid03JhYEzUjigXFSmfhzsi2ZXHikoRM53GuEiBQi1UhVQ7BSyBQAqQjmYCdzW7jy4jNl</v>
      </c>
      <c r="G1760"/>
      <c r="H1760" t="inlineStr">
        <is>
          <t>Website, Pic Posts / Album</t>
        </is>
      </c>
      <c r="I1760" t="inlineStr">
        <is>
          <t>งานประจำวัน</t>
        </is>
      </c>
      <c r="J1760" t="inlineStr">
        <is>
          <t>Done</t>
        </is>
      </c>
      <c r="K1760"/>
      <c r="L1760" s="3" t="str">
        <f>=HYPERLINK("https://ev.iphonemod.net/tesla-roll-out-child-left-behind-detection/", "https://ev.iphonemod.net/tesla-roll-out-child-left-behind-detection/")</f>
        <v>https://ev.iphonemod.net/tesla-roll-out-child-left-behind-detection/</v>
      </c>
      <c r="M1760" t="inlineStr">
        <is>
          <t>1</t>
        </is>
      </c>
      <c r="N1760" t="inlineStr">
        <is>
          <t>EV</t>
        </is>
      </c>
      <c r="O1760"/>
    </row>
    <row r="1761" ht="12.75" customHeight="1">
      <c r="A1761" t="inlineStr">
        <is>
          <t>6 ดีไซน์ แรงบันดาลใจจาก visionOS ที่คาดว่าจะมาใน iOS 26</t>
        </is>
      </c>
      <c r="B1761" t="inlineStr">
        <is>
          <t>Sakura</t>
        </is>
      </c>
      <c r="C1761" s="2">
        <v>45810</v>
      </c>
      <c r="D1761" s="2">
        <v>45810</v>
      </c>
      <c r="E1761" t="inlineStr">
        <is>
          <t>ปกติ</t>
        </is>
      </c>
      <c r="F1761" s="3" t="str">
        <f>=HYPERLINK("https://www.facebook.com/iPhonemod/posts/pfbid0LUNLhx37WCN2WbmTyC7rTU98hTevqVqhyMTkbkATYykVQKCsrKM47Rkg1AQ3rnJvl", "https://www.facebook.com/iPhonemod/posts/pfbid0LUNLhx37WCN2WbmTyC7rTU98hTevqVqhyMTkbkATYykVQKCsrKM47Rkg1AQ3rnJvl")</f>
        <v>https://www.facebook.com/iPhonemod/posts/pfbid0LUNLhx37WCN2WbmTyC7rTU98hTevqVqhyMTkbkATYykVQKCsrKM47Rkg1AQ3rnJvl</v>
      </c>
      <c r="G1761"/>
      <c r="H1761" t="inlineStr">
        <is>
          <t>Pic Posts / Album, Website</t>
        </is>
      </c>
      <c r="I1761" t="inlineStr">
        <is>
          <t>งานประจำวัน</t>
        </is>
      </c>
      <c r="J1761" t="inlineStr">
        <is>
          <t>Done</t>
        </is>
      </c>
      <c r="K1761"/>
      <c r="L1761" s="3" t="str">
        <f>=HYPERLINK("https://www.iphonemod.net/6-designs-from-visionos-to-ios-26.html", "https://www.iphonemod.net/6-designs-from-visionos-to-ios-26.html")</f>
        <v>https://www.iphonemod.net/6-designs-from-visionos-to-ios-26.html</v>
      </c>
      <c r="M1761" t="inlineStr">
        <is>
          <t>1</t>
        </is>
      </c>
      <c r="N1761" t="inlineStr">
        <is>
          <t>Apple</t>
        </is>
      </c>
      <c r="O1761"/>
    </row>
    <row r="1762" ht="12.75" customHeight="1">
      <c r="A1762" t="inlineStr">
        <is>
          <t>พบ Tesla วิ่งทดสอบรถรุ่นราคาประหยัด (หรืออาจจะเป็น Model Y Performance) ในโรงงาน Fremont</t>
        </is>
      </c>
      <c r="B1762" t="inlineStr">
        <is>
          <t>Sakura</t>
        </is>
      </c>
      <c r="C1762" s="2">
        <v>45809</v>
      </c>
      <c r="D1762" s="2">
        <v>45809</v>
      </c>
      <c r="E1762" t="inlineStr">
        <is>
          <t>ปกติ</t>
        </is>
      </c>
      <c r="F1762" s="3" t="str">
        <f>=HYPERLINK("https://www.facebook.com/iPhonemod/posts/pfbid02uLX9GreBzfYNrU2BT4Agox3yuMvsCGCfwFpoB1nVmVh4ikUBUxom8UNSH6v6sR2Xl", "https://www.facebook.com/iPhonemod/posts/pfbid02uLX9GreBzfYNrU2BT4Agox3yuMvsCGCfwFpoB1nVmVh4ikUBUxom8UNSH6v6sR2Xl")</f>
        <v>https://www.facebook.com/iPhonemod/posts/pfbid02uLX9GreBzfYNrU2BT4Agox3yuMvsCGCfwFpoB1nVmVh4ikUBUxom8UNSH6v6sR2Xl</v>
      </c>
      <c r="G1762"/>
      <c r="H1762" t="inlineStr">
        <is>
          <t>Website, Pic Posts / Album</t>
        </is>
      </c>
      <c r="I1762" t="inlineStr">
        <is>
          <t>งานประจำวัน</t>
        </is>
      </c>
      <c r="J1762" t="inlineStr">
        <is>
          <t>Done</t>
        </is>
      </c>
      <c r="K1762"/>
      <c r="L1762" s="3" t="str">
        <f>=HYPERLINK("https://ev.iphonemod.net/tesla-affordable-model-testing-fremont-factory-spotted/", "https://ev.iphonemod.net/tesla-affordable-model-testing-fremont-factory-spotted/")</f>
        <v>https://ev.iphonemod.net/tesla-affordable-model-testing-fremont-factory-spotted/</v>
      </c>
      <c r="M1762" t="inlineStr">
        <is>
          <t>1</t>
        </is>
      </c>
      <c r="N1762" t="inlineStr">
        <is>
          <t>EV</t>
        </is>
      </c>
      <c r="O1762"/>
    </row>
    <row r="1763" ht="12.75" customHeight="1">
      <c r="A1763" t="inlineStr">
        <is>
          <t>BYD จับมือพันธมิตรสถานีชาร์จ เตรียมติดตั้งตู้ชาร์จเร็วระดับเมกะวัตต์ ถึง 15,000 จุดทั่วจีน</t>
        </is>
      </c>
      <c r="B1763" t="inlineStr">
        <is>
          <t>Sakura</t>
        </is>
      </c>
      <c r="C1763" s="2">
        <v>45809</v>
      </c>
      <c r="D1763" s="2">
        <v>45809</v>
      </c>
      <c r="E1763" t="inlineStr">
        <is>
          <t>ปกติ</t>
        </is>
      </c>
      <c r="F1763" s="3"/>
      <c r="G1763"/>
      <c r="H1763" t="inlineStr">
        <is>
          <t>Website</t>
        </is>
      </c>
      <c r="I1763" t="inlineStr">
        <is>
          <t>งานประจำวัน</t>
        </is>
      </c>
      <c r="J1763" t="inlineStr">
        <is>
          <t>Done</t>
        </is>
      </c>
      <c r="K1763"/>
      <c r="L1763" s="3" t="str">
        <f>=HYPERLINK("https://ev.iphonemod.net/byd-partner-ev-statation-roll-out-1500-megawatt-charger-around-china/", "https://ev.iphonemod.net/byd-partner-ev-statation-roll-out-1500-megawatt-charger-around-china/")</f>
        <v>https://ev.iphonemod.net/byd-partner-ev-statation-roll-out-1500-megawatt-charger-around-china/</v>
      </c>
      <c r="M1763" t="inlineStr">
        <is>
          <t>1</t>
        </is>
      </c>
      <c r="N1763" t="inlineStr">
        <is>
          <t>EV</t>
        </is>
      </c>
      <c r="O1763"/>
    </row>
    <row r="1764" ht="12.75" customHeight="1">
      <c r="A1764" t="inlineStr">
        <is>
          <t>ยอดจดทะเบียนรถยนต์ของ BYD ใกล้ครบยอดจองแล้ว! เดือน เม.ย. - พ.ค. 68 ทำยอดจดทะเบียนเกือบ 10,000 คันแล้ว!</t>
        </is>
      </c>
      <c r="B1764" t="inlineStr">
        <is>
          <t>Sakura</t>
        </is>
      </c>
      <c r="C1764" s="2">
        <v>45809</v>
      </c>
      <c r="D1764" s="2">
        <v>45809</v>
      </c>
      <c r="E1764" t="inlineStr">
        <is>
          <t>ปกติ</t>
        </is>
      </c>
      <c r="F1764" s="3"/>
      <c r="G1764"/>
      <c r="H1764" t="inlineStr">
        <is>
          <t>Pic Posts / Album</t>
        </is>
      </c>
      <c r="I1764" t="inlineStr">
        <is>
          <t>งานประจำวัน</t>
        </is>
      </c>
      <c r="J1764" t="inlineStr">
        <is>
          <t>Done</t>
        </is>
      </c>
      <c r="K1764"/>
      <c r="L1764" s="3" t="str">
        <f>=HYPERLINK("https://www.facebook.com/iPhonemod/posts/pfbid035J8evmSC9H5JYXzefx7HqrjrLrrUrXYdmQk9FCQxN4KUCR9VwdiqjnFjb1WaX3RHl", "https://www.facebook.com/iPhonemod/posts/pfbid035J8evmSC9H5JYXzefx7HqrjrLrrUrXYdmQk9FCQxN4KUCR9VwdiqjnFjb1WaX3RHl")</f>
        <v>https://www.facebook.com/iPhonemod/posts/pfbid035J8evmSC9H5JYXzefx7HqrjrLrrUrXYdmQk9FCQxN4KUCR9VwdiqjnFjb1WaX3RHl</v>
      </c>
      <c r="M1764" t="inlineStr">
        <is>
          <t>1</t>
        </is>
      </c>
      <c r="N1764" t="inlineStr">
        <is>
          <t>EV</t>
        </is>
      </c>
      <c r="O1764"/>
    </row>
    <row r="1765" ht="12.75" customHeight="1">
      <c r="A1765" t="inlineStr">
        <is>
          <t>True ร่วมฉลอง Pride Month 2025 สนับสนุนทุกความแตกต่าง เชื่อมถึง “ตัวตนที่แท้ทรู”</t>
        </is>
      </c>
      <c r="B1765" t="inlineStr">
        <is>
          <t>Thitirath Kinaret</t>
        </is>
      </c>
      <c r="C1765" s="2">
        <v>45808</v>
      </c>
      <c r="D1765" s="2">
        <v>45808</v>
      </c>
      <c r="E1765" t="inlineStr">
        <is>
          <t>ปกติ</t>
        </is>
      </c>
      <c r="F1765" s="3" t="str">
        <f>=HYPERLINK("https://www.iphonemod.net/true-pride-month-2025.html", "https://www.iphonemod.net/true-pride-month-2025.html")</f>
        <v>https://www.iphonemod.net/true-pride-month-2025.html</v>
      </c>
      <c r="G1765"/>
      <c r="H1765" t="inlineStr">
        <is>
          <t>Website</t>
        </is>
      </c>
      <c r="I1765" t="inlineStr">
        <is>
          <t>งานลูกค้า</t>
        </is>
      </c>
      <c r="J1765" t="inlineStr">
        <is>
          <t>Done</t>
        </is>
      </c>
      <c r="K1765"/>
      <c r="L1765" s="3"/>
      <c r="M1765" t="inlineStr">
        <is>
          <t>1</t>
        </is>
      </c>
      <c r="N1765" t="inlineStr">
        <is>
          <t>PR</t>
        </is>
      </c>
      <c r="O1765"/>
    </row>
    <row r="1766" ht="12.75" customHeight="1">
      <c r="A1766" t="inlineStr">
        <is>
          <t>Studio 7 เปิดให้สั่งซื้อล่วงหน้า Marshall Kilburn III ราคา 14,490 บาท</t>
        </is>
      </c>
      <c r="B1766" t="inlineStr">
        <is>
          <t>Thitirath Kinaret</t>
        </is>
      </c>
      <c r="C1766" s="2">
        <v>45808</v>
      </c>
      <c r="D1766" s="2">
        <v>45808</v>
      </c>
      <c r="E1766" t="inlineStr">
        <is>
          <t>ปกติ</t>
        </is>
      </c>
      <c r="F1766" s="3" t="str">
        <f>=HYPERLINK("https://www.iphonemod.net/marshall-kilburn-iii-studio-7-pre-order.html", "https://www.iphonemod.net/marshall-kilburn-iii-studio-7-pre-order.html")</f>
        <v>https://www.iphonemod.net/marshall-kilburn-iii-studio-7-pre-order.html</v>
      </c>
      <c r="G1766"/>
      <c r="H1766" t="inlineStr">
        <is>
          <t>Website</t>
        </is>
      </c>
      <c r="I1766" t="inlineStr">
        <is>
          <t>งานลูกค้า</t>
        </is>
      </c>
      <c r="J1766" t="inlineStr">
        <is>
          <t>Done</t>
        </is>
      </c>
      <c r="K1766"/>
      <c r="L1766" s="3"/>
      <c r="M1766" t="inlineStr">
        <is>
          <t>1</t>
        </is>
      </c>
      <c r="N1766" t="inlineStr">
        <is>
          <t>PR</t>
        </is>
      </c>
      <c r="O1766"/>
    </row>
    <row r="1767" ht="12.75" customHeight="1">
      <c r="A1767" t="inlineStr">
        <is>
          <t>ลือ! iPhone 17 ตัวธรรมดา หน้าจอใหญ่ขึ้น</t>
        </is>
      </c>
      <c r="B1767" t="inlineStr">
        <is>
          <t>Thitirath Kinaret</t>
        </is>
      </c>
      <c r="C1767" s="2">
        <v>45807</v>
      </c>
      <c r="D1767" s="2">
        <v>45807</v>
      </c>
      <c r="E1767" t="inlineStr">
        <is>
          <t>ปกติ</t>
        </is>
      </c>
      <c r="F1767" s="3" t="str">
        <f>=HYPERLINK("https://www.macrumors.com/2025/05/29/iphone-17-display-sizes/", "https://www.macrumors.com/2025/05/29/iphone-17-display-sizes/")</f>
        <v>https://www.macrumors.com/2025/05/29/iphone-17-display-sizes/</v>
      </c>
      <c r="G1767"/>
      <c r="H1767" t="inlineStr">
        <is>
          <t>Website, Pic Posts / Album</t>
        </is>
      </c>
      <c r="I1767" t="inlineStr">
        <is>
          <t>งานประจำวัน</t>
        </is>
      </c>
      <c r="J1767" t="inlineStr">
        <is>
          <t>Done</t>
        </is>
      </c>
      <c r="K1767"/>
      <c r="L1767" s="3" t="str">
        <f>=HYPERLINK("https://www.facebook.com/iPhonemod/posts/pfbid02Bw6d3TDWiefJnsefFWy526rVgHD9QC6rg2K4WH2vQjvg2tuAT768egKXJNifP3Vgl", "https://www.facebook.com/iPhonemod/posts/pfbid02Bw6d3TDWiefJnsefFWy526rVgHD9QC6rg2K4WH2vQjvg2tuAT768egKXJNifP3Vgl")</f>
        <v>https://www.facebook.com/iPhonemod/posts/pfbid02Bw6d3TDWiefJnsefFWy526rVgHD9QC6rg2K4WH2vQjvg2tuAT768egKXJNifP3Vgl</v>
      </c>
      <c r="M1767" t="inlineStr">
        <is>
          <t>1</t>
        </is>
      </c>
      <c r="N1767" t="inlineStr">
        <is>
          <t>Apple</t>
        </is>
      </c>
      <c r="O1767"/>
    </row>
    <row r="1768" ht="12.75" customHeight="1">
      <c r="A1768" t="inlineStr">
        <is>
          <t>หลุดสเปค Xiaomi 16</t>
        </is>
      </c>
      <c r="B1768" t="inlineStr">
        <is>
          <t>Saktaphat Kordjan</t>
        </is>
      </c>
      <c r="C1768" s="2">
        <v>45807</v>
      </c>
      <c r="D1768" s="2"/>
      <c r="E1768" t="inlineStr">
        <is>
          <t>ปกติ</t>
        </is>
      </c>
      <c r="F1768" s="3" t="str">
        <f>=HYPERLINK("https://www.gsmarena.com/xiaomi_16_specs_leak-news-68028.php", "https://www.gsmarena.com/xiaomi_16_specs_leak-news-68028.php")</f>
        <v>https://www.gsmarena.com/xiaomi_16_specs_leak-news-68028.php</v>
      </c>
      <c r="G1768"/>
      <c r="H1768" t="inlineStr">
        <is>
          <t>Website</t>
        </is>
      </c>
      <c r="I1768" t="inlineStr">
        <is>
          <t>งานประจำวัน</t>
        </is>
      </c>
      <c r="J1768" t="inlineStr">
        <is>
          <t>Done</t>
        </is>
      </c>
      <c r="K1768"/>
      <c r="L1768" s="3"/>
      <c r="M1768" t="inlineStr">
        <is>
          <t>1</t>
        </is>
      </c>
      <c r="N1768" t="inlineStr">
        <is>
          <t>Android</t>
        </is>
      </c>
      <c r="O1768"/>
    </row>
    <row r="1769" ht="12.75" customHeight="1">
      <c r="A1769" t="inlineStr">
        <is>
          <t>สิ่งที่ควรทราบ เมื่อรถยนต์ไฟฟ้า (EV) แบตเตอรี่หมด ลากจูงได้ไหม</t>
        </is>
      </c>
      <c r="B1769" t="inlineStr">
        <is>
          <t>Sakura</t>
        </is>
      </c>
      <c r="C1769" s="2">
        <v>45807</v>
      </c>
      <c r="D1769" s="2">
        <v>45807</v>
      </c>
      <c r="E1769" t="inlineStr">
        <is>
          <t>ปกติ</t>
        </is>
      </c>
      <c r="F1769" s="3" t="str">
        <f>=HYPERLINK("https://ev.iphonemod.net/what-should-you-know-when-ev-battery-run-out/", "https://ev.iphonemod.net/what-should-you-know-when-ev-battery-run-out/")</f>
        <v>https://ev.iphonemod.net/what-should-you-know-when-ev-battery-run-out/</v>
      </c>
      <c r="G1769"/>
      <c r="H1769" t="inlineStr">
        <is>
          <t>Website</t>
        </is>
      </c>
      <c r="I1769" t="inlineStr">
        <is>
          <t>งานประจำวัน</t>
        </is>
      </c>
      <c r="J1769" t="inlineStr">
        <is>
          <t>Done</t>
        </is>
      </c>
      <c r="K1769"/>
      <c r="L1769" s="3" t="str">
        <f>=HYPERLINK("https://ev.iphonemod.net/what-should-you-know-when-ev-battery-run-out/", "https://ev.iphonemod.net/what-should-you-know-when-ev-battery-run-out/")</f>
        <v>https://ev.iphonemod.net/what-should-you-know-when-ev-battery-run-out/</v>
      </c>
      <c r="M1769" t="inlineStr">
        <is>
          <t>1</t>
        </is>
      </c>
      <c r="N1769" t="inlineStr">
        <is>
          <t>EV</t>
        </is>
      </c>
      <c r="O1769"/>
    </row>
    <row r="1770" ht="12.75" customHeight="1">
      <c r="A1770" t="inlineStr">
        <is>
          <t>Galaxy Z Flip 7 ในสหรัฐฯ อาจใช้ชิป Exynos</t>
        </is>
      </c>
      <c r="B1770" t="inlineStr">
        <is>
          <t>Saktaphat Kordjan,Sasithakan Sritonthip</t>
        </is>
      </c>
      <c r="C1770" s="2">
        <v>45807</v>
      </c>
      <c r="D1770" s="2"/>
      <c r="E1770" t="inlineStr">
        <is>
          <t>ปกติ</t>
        </is>
      </c>
      <c r="F1770" s="3" t="str">
        <f>=HYPERLINK("https://www.sammobile.com/news/samsung-galaxy-z-flip-7-usa-exynos-not-snapdragon/", "https://www.sammobile.com/news/samsung-galaxy-z-flip-7-usa-exynos-not-snapdragon/")</f>
        <v>https://www.sammobile.com/news/samsung-galaxy-z-flip-7-usa-exynos-not-snapdragon/</v>
      </c>
      <c r="G1770"/>
      <c r="H1770" t="inlineStr">
        <is>
          <t>Website, Shorts</t>
        </is>
      </c>
      <c r="I1770" t="inlineStr">
        <is>
          <t>งานประจำวัน</t>
        </is>
      </c>
      <c r="J1770" t="inlineStr">
        <is>
          <t>Done</t>
        </is>
      </c>
      <c r="K1770"/>
      <c r="L1770" s="3"/>
      <c r="M1770" t="inlineStr">
        <is>
          <t>1</t>
        </is>
      </c>
      <c r="N1770" t="inlineStr">
        <is>
          <t>Android</t>
        </is>
      </c>
      <c r="O1770"/>
    </row>
    <row r="1771" ht="12.75" customHeight="1">
      <c r="A1771" t="inlineStr">
        <is>
          <t>สื่อยืนยันข่าวเรื่อง iOS 26 จะมาแทนชื่อ iOS 19</t>
        </is>
      </c>
      <c r="B1771" t="inlineStr">
        <is>
          <t>Thitirath Kinaret</t>
        </is>
      </c>
      <c r="C1771" s="2">
        <v>45807</v>
      </c>
      <c r="D1771" s="2">
        <v>45807</v>
      </c>
      <c r="E1771" t="inlineStr">
        <is>
          <t>ปกติ</t>
        </is>
      </c>
      <c r="F1771" s="3" t="str">
        <f>=HYPERLINK("https://www.iphonemod.net/apple-again-rumors-ios-26-name.html", "https://www.iphonemod.net/apple-again-rumors-ios-26-name.html")</f>
        <v>https://www.iphonemod.net/apple-again-rumors-ios-26-name.html</v>
      </c>
      <c r="G1771"/>
      <c r="H1771" t="inlineStr">
        <is>
          <t>Website</t>
        </is>
      </c>
      <c r="I1771" t="inlineStr">
        <is>
          <t>งานประจำวัน</t>
        </is>
      </c>
      <c r="J1771" t="inlineStr">
        <is>
          <t>Done</t>
        </is>
      </c>
      <c r="K1771"/>
      <c r="L1771" s="3" t="str">
        <f>=HYPERLINK("https://www.iphonemod.net/apple-again-rumors-ios-26-name.html", "https://www.iphonemod.net/apple-again-rumors-ios-26-name.html")</f>
        <v>https://www.iphonemod.net/apple-again-rumors-ios-26-name.html</v>
      </c>
      <c r="M1771" t="inlineStr">
        <is>
          <t>1</t>
        </is>
      </c>
      <c r="N1771" t="inlineStr">
        <is>
          <t>Apple</t>
        </is>
      </c>
      <c r="O1771"/>
    </row>
    <row r="1772" ht="12.75" customHeight="1">
      <c r="A1772" t="inlineStr">
        <is>
          <t>โลโก้สำนักงานใหญ่ NETA ที่เซี่ยงไฮ้ถูกเอาออก! ท่ามกลางกระแสข่าวผู้ก่อตั้งอาจถูกปลด</t>
        </is>
      </c>
      <c r="B1772" t="inlineStr">
        <is>
          <t>Nuttanon,Sakura</t>
        </is>
      </c>
      <c r="C1772" s="2">
        <v>45807</v>
      </c>
      <c r="D1772" s="2">
        <v>45807</v>
      </c>
      <c r="E1772" t="inlineStr">
        <is>
          <t>ปกติ</t>
        </is>
      </c>
      <c r="F1772" s="3" t="str">
        <f>=HYPERLINK("https://ev.iphonemod.net/neta-hq-logo-got-removed-in-china/", "https://ev.iphonemod.net/neta-hq-logo-got-removed-in-china/")</f>
        <v>https://ev.iphonemod.net/neta-hq-logo-got-removed-in-china/</v>
      </c>
      <c r="G1772"/>
      <c r="H1772" t="inlineStr">
        <is>
          <t>Website, Pic Posts / Album</t>
        </is>
      </c>
      <c r="I1772" t="inlineStr">
        <is>
          <t>งานประจำวัน</t>
        </is>
      </c>
      <c r="J1772" t="inlineStr">
        <is>
          <t>Done</t>
        </is>
      </c>
      <c r="K1772"/>
      <c r="L1772" s="3"/>
      <c r="M1772" t="inlineStr">
        <is>
          <t>1</t>
        </is>
      </c>
      <c r="N1772" t="inlineStr">
        <is>
          <t>EV</t>
        </is>
      </c>
      <c r="O1772"/>
    </row>
    <row r="1773" ht="12.75" customHeight="1">
      <c r="A1773" t="inlineStr">
        <is>
          <t>iOS ที่ Apple เปิดตัวมาตั้งแต่ 2007 - 2024</t>
        </is>
      </c>
      <c r="B1773" t="inlineStr">
        <is>
          <t>Thitirath Kinaret</t>
        </is>
      </c>
      <c r="C1773" s="2">
        <v>45807</v>
      </c>
      <c r="D1773" s="2">
        <v>45807</v>
      </c>
      <c r="E1773" t="inlineStr">
        <is>
          <t>ปกติ</t>
        </is>
      </c>
      <c r="F1773" s="3"/>
      <c r="G1773"/>
      <c r="H1773" t="inlineStr">
        <is>
          <t>Pic Posts / Album</t>
        </is>
      </c>
      <c r="I1773" t="inlineStr">
        <is>
          <t>งานประจำวัน</t>
        </is>
      </c>
      <c r="J1773" t="inlineStr">
        <is>
          <t>Done</t>
        </is>
      </c>
      <c r="K1773"/>
      <c r="L1773" s="3" t="str">
        <f>=HYPERLINK("https://www.facebook.com/iPhonemod/posts/pfbid0NckrYcUuihLxtPQzTAf26SgRbHxY4qW2aXKNNMeSZPKpSDLgFj7eiGvxr9i6thoHl", "https://www.facebook.com/iPhonemod/posts/pfbid0NckrYcUuihLxtPQzTAf26SgRbHxY4qW2aXKNNMeSZPKpSDLgFj7eiGvxr9i6thoHl")</f>
        <v>https://www.facebook.com/iPhonemod/posts/pfbid0NckrYcUuihLxtPQzTAf26SgRbHxY4qW2aXKNNMeSZPKpSDLgFj7eiGvxr9i6thoHl</v>
      </c>
      <c r="M1773" t="inlineStr">
        <is>
          <t>1</t>
        </is>
      </c>
      <c r="N1773" t="inlineStr">
        <is>
          <t>Apple</t>
        </is>
      </c>
      <c r="O1773"/>
    </row>
    <row r="1774" ht="12.75" customHeight="1">
      <c r="A1774" t="inlineStr">
        <is>
          <t>One UI 8 อัปเดตฟีเจอร์ Game Booster</t>
        </is>
      </c>
      <c r="B1774" t="inlineStr">
        <is>
          <t>Saktaphat Kordjan</t>
        </is>
      </c>
      <c r="C1774" s="2">
        <v>45807</v>
      </c>
      <c r="D1774" s="2"/>
      <c r="E1774" t="inlineStr">
        <is>
          <t>ปกติ</t>
        </is>
      </c>
      <c r="F1774" s="3" t="str">
        <f>=HYPERLINK("https://www.androidauthority.com/samsung-game-booster-one-ui-8-features-3562356/", "https://www.androidauthority.com/samsung-game-booster-one-ui-8-features-3562356/")</f>
        <v>https://www.androidauthority.com/samsung-game-booster-one-ui-8-features-3562356/</v>
      </c>
      <c r="G1774"/>
      <c r="H1774" t="inlineStr">
        <is>
          <t>Website</t>
        </is>
      </c>
      <c r="I1774" t="inlineStr">
        <is>
          <t>งานประจำวัน</t>
        </is>
      </c>
      <c r="J1774" t="inlineStr">
        <is>
          <t>Done</t>
        </is>
      </c>
      <c r="K1774"/>
      <c r="L1774" s="3"/>
      <c r="M1774" t="inlineStr">
        <is>
          <t>1</t>
        </is>
      </c>
      <c r="N1774" t="inlineStr">
        <is>
          <t>Android</t>
        </is>
      </c>
      <c r="O1774"/>
    </row>
    <row r="1775" ht="12.75" customHeight="1">
      <c r="A1775" t="inlineStr">
        <is>
          <t>GWM ประเทศจีน เผยโฉม New ORA Good Cat 2025 หน้าจอกลาง 14.6 นิ้ว พร้อมสีภายนอกและภายในใหม่</t>
        </is>
      </c>
      <c r="B1775" t="inlineStr">
        <is>
          <t>Sakura</t>
        </is>
      </c>
      <c r="C1775" s="2">
        <v>45807</v>
      </c>
      <c r="D1775" s="2">
        <v>45807</v>
      </c>
      <c r="E1775" t="inlineStr">
        <is>
          <t>ปกติ</t>
        </is>
      </c>
      <c r="F1775" s="3" t="str">
        <f>=HYPERLINK("https://ev.iphonemod.net/gwm-debut-new-ora-good-cat-2025/", "https://ev.iphonemod.net/gwm-debut-new-ora-good-cat-2025/")</f>
        <v>https://ev.iphonemod.net/gwm-debut-new-ora-good-cat-2025/</v>
      </c>
      <c r="G1775"/>
      <c r="H1775" t="inlineStr">
        <is>
          <t>Website</t>
        </is>
      </c>
      <c r="I1775" t="inlineStr">
        <is>
          <t>งานประจำวัน</t>
        </is>
      </c>
      <c r="J1775" t="inlineStr">
        <is>
          <t>Done</t>
        </is>
      </c>
      <c r="K1775"/>
      <c r="L1775" s="3" t="str">
        <f>=HYPERLINK("https://ev.iphonemod.net/gwm-debut-new-ora-good-cat-2025/", "https://ev.iphonemod.net/gwm-debut-new-ora-good-cat-2025/")</f>
        <v>https://ev.iphonemod.net/gwm-debut-new-ora-good-cat-2025/</v>
      </c>
      <c r="M1775" t="inlineStr">
        <is>
          <t>1</t>
        </is>
      </c>
      <c r="N1775" t="inlineStr">
        <is>
          <t>EV</t>
        </is>
      </c>
      <c r="O1775"/>
    </row>
    <row r="1776" ht="12.75" customHeight="1">
      <c r="A1776" t="inlineStr">
        <is>
          <t xml:space="preserve">Tesla ขับเอง FSD ไร้คนขับ ส่งมอบให้ลูกค้าถึงหน้าบ้านได้แล้ว! </t>
        </is>
      </c>
      <c r="B1776" t="inlineStr">
        <is>
          <t>Nuttanon</t>
        </is>
      </c>
      <c r="C1776" s="2">
        <v>45807</v>
      </c>
      <c r="D1776" s="2">
        <v>45807</v>
      </c>
      <c r="E1776" t="inlineStr">
        <is>
          <t>ปกติ</t>
        </is>
      </c>
      <c r="F1776" s="3" t="str">
        <f>=HYPERLINK("https://www.facebook.com/reel/675735252100224/?s=single_unit", "https://www.facebook.com/reel/675735252100224/?s=single_unit")</f>
        <v>https://www.facebook.com/reel/675735252100224/?s=single_unit</v>
      </c>
      <c r="G1776"/>
      <c r="H1776" t="inlineStr">
        <is>
          <t>Website, Shorts</t>
        </is>
      </c>
      <c r="I1776" t="inlineStr">
        <is>
          <t>งานประจำวัน</t>
        </is>
      </c>
      <c r="J1776" t="inlineStr">
        <is>
          <t>Done</t>
        </is>
      </c>
      <c r="K1776"/>
      <c r="L1776" s="3" t="str">
        <f>=HYPERLINK("https://ev.iphonemod.net/tesla-new-model-y-self-deliver-in-us/", "https://ev.iphonemod.net/tesla-new-model-y-self-deliver-in-us/")</f>
        <v>https://ev.iphonemod.net/tesla-new-model-y-self-deliver-in-us/</v>
      </c>
      <c r="M1776" t="inlineStr">
        <is>
          <t>1</t>
        </is>
      </c>
      <c r="N1776" t="inlineStr">
        <is>
          <t>EV</t>
        </is>
      </c>
      <c r="O1776"/>
    </row>
    <row r="1777" ht="12.75" customHeight="1">
      <c r="A1777" t="inlineStr">
        <is>
          <t>Lotus Cars Roadshow สัมผัสเสน่ห์ LOTUS EMEYA และ ELETRE</t>
        </is>
      </c>
      <c r="B1777" t="inlineStr">
        <is>
          <t>Nuttanon</t>
        </is>
      </c>
      <c r="C1777" s="2">
        <v>45807</v>
      </c>
      <c r="D1777" s="2">
        <v>45807</v>
      </c>
      <c r="E1777" t="inlineStr">
        <is>
          <t>ปกติ</t>
        </is>
      </c>
      <c r="F1777" s="3" t="str">
        <f>=HYPERLINK("https://ev.iphonemod.net/lotus-cars-roadshow-emeya-eletre/", "https://ev.iphonemod.net/lotus-cars-roadshow-emeya-eletre/")</f>
        <v>https://ev.iphonemod.net/lotus-cars-roadshow-emeya-eletre/</v>
      </c>
      <c r="G1777"/>
      <c r="H1777" t="inlineStr">
        <is>
          <t>Website</t>
        </is>
      </c>
      <c r="I1777" t="inlineStr">
        <is>
          <t>งานประจำวัน</t>
        </is>
      </c>
      <c r="J1777" t="inlineStr">
        <is>
          <t>Done</t>
        </is>
      </c>
      <c r="K1777"/>
      <c r="L1777" s="3" t="str">
        <f>=HYPERLINK("https://ev.iphonemod.net/lotus-cars-roadshow-emeya-eletre/", "https://ev.iphonemod.net/lotus-cars-roadshow-emeya-eletre/")</f>
        <v>https://ev.iphonemod.net/lotus-cars-roadshow-emeya-eletre/</v>
      </c>
      <c r="M1777" t="inlineStr">
        <is>
          <t>1</t>
        </is>
      </c>
      <c r="N1777" t="inlineStr">
        <is>
          <t>EV, PR</t>
        </is>
      </c>
      <c r="O1777"/>
    </row>
    <row r="1778" ht="12.75" customHeight="1">
      <c r="A1778" t="inlineStr">
        <is>
          <t>สรุปข่าวประจำสัปดาห์ : เปิดตัว Xiaomi YU7 | Nissan Micra (March) EV | Tesla Model Y Performance | BYD กระบะไฟฟ้า</t>
        </is>
      </c>
      <c r="B1778" t="inlineStr">
        <is>
          <t>Nuttanon</t>
        </is>
      </c>
      <c r="C1778" s="2">
        <v>45807</v>
      </c>
      <c r="D1778" s="2">
        <v>45807</v>
      </c>
      <c r="E1778" t="inlineStr">
        <is>
          <t>ปกติ</t>
        </is>
      </c>
      <c r="F1778" s="3" t="str">
        <f>=HYPERLINK("https://www.youtube.com/watch?v=5nc1cE0oRQM&amp;t=11s", "https://www.youtube.com/watch?v=5nc1cE0oRQM&amp;t=11s")</f>
        <v>https://www.youtube.com/watch?v=5nc1cE0oRQM&amp;t=11s</v>
      </c>
      <c r="G1778"/>
      <c r="H1778" t="inlineStr">
        <is>
          <t>YouTube</t>
        </is>
      </c>
      <c r="I1778" t="inlineStr">
        <is>
          <t>งานประจำวัน</t>
        </is>
      </c>
      <c r="J1778" t="inlineStr">
        <is>
          <t>Done</t>
        </is>
      </c>
      <c r="K1778"/>
      <c r="L1778" s="3" t="str">
        <f>=HYPERLINK("https://www.youtube.com/watch?v=5nc1cE0oRQM&amp;t=11s", "https://www.youtube.com/watch?v=5nc1cE0oRQM&amp;t=11s")</f>
        <v>https://www.youtube.com/watch?v=5nc1cE0oRQM&amp;t=11s</v>
      </c>
      <c r="M1778" t="inlineStr">
        <is>
          <t>1</t>
        </is>
      </c>
      <c r="N1778" t="inlineStr">
        <is>
          <t>EV</t>
        </is>
      </c>
      <c r="O1778"/>
    </row>
    <row r="1779" ht="12.75" customHeight="1">
      <c r="A1779" t="inlineStr">
        <is>
          <t>งาน Huawei Watch Fit 4</t>
        </is>
      </c>
      <c r="B1779" t="inlineStr">
        <is>
          <t>Pun,Thitirath Kinaret</t>
        </is>
      </c>
      <c r="C1779" s="2">
        <v>45806</v>
      </c>
      <c r="D1779" s="2">
        <v>45807</v>
      </c>
      <c r="E1779" t="inlineStr">
        <is>
          <t>ปกติ</t>
        </is>
      </c>
      <c r="F1779" s="3" t="str">
        <f>=HYPERLINK("https://docs.google.com/presentation/d/167Chebz-6eusVznj1XNFb5U7I02En7bJx6cizd1gwmY/mobilepresent?pli=1&amp;slide=id.g35aa859f50f_0_0", "https://docs.google.com/presentation/d/167Chebz-6eusVznj1XNFb5U7I02En7bJx6cizd1gwmY/mobilepresent?pli=1&amp;slide=id.g35aa859f50f_0_0")</f>
        <v>https://docs.google.com/presentation/d/167Chebz-6eusVznj1XNFb5U7I02En7bJx6cizd1gwmY/mobilepresent?pli=1&amp;slide=id.g35aa859f50f_0_0</v>
      </c>
      <c r="G1779"/>
      <c r="H1779" t="inlineStr">
        <is>
          <t>Event, Pic Posts / Album</t>
        </is>
      </c>
      <c r="I1779" t="inlineStr">
        <is>
          <t>งานลูกค้า</t>
        </is>
      </c>
      <c r="J1779" t="inlineStr">
        <is>
          <t>Done</t>
        </is>
      </c>
      <c r="K1779" t="inlineStr">
        <is>
          <t>ไปกับพี่ต้อม ร่วมงาน Huawei Innovative 
Product Launch 2025</t>
        </is>
      </c>
      <c r="L1779" s="3" t="str">
        <f>=HYPERLINK("https://www.facebook.com/iPhonemod/posts/pfbid02PUmpxycReAyu6iKYvr58vZYWH8k9W1uapz3oQgGmQq5MEX8Esaw2WRBqqbB9tCapl", "https://www.facebook.com/iPhonemod/posts/pfbid02PUmpxycReAyu6iKYvr58vZYWH8k9W1uapz3oQgGmQq5MEX8Esaw2WRBqqbB9tCapl")</f>
        <v>https://www.facebook.com/iPhonemod/posts/pfbid02PUmpxycReAyu6iKYvr58vZYWH8k9W1uapz3oQgGmQq5MEX8Esaw2WRBqqbB9tCapl</v>
      </c>
      <c r="M1779" t="inlineStr">
        <is>
          <t>1</t>
        </is>
      </c>
      <c r="N1779" t="inlineStr">
        <is>
          <t>Tech</t>
        </is>
      </c>
      <c r="O1779"/>
    </row>
    <row r="1780" ht="12.75" customHeight="1">
      <c r="A1780" t="inlineStr">
        <is>
          <t>Apple อาจข้าม iOS 19 ไปใช้ชื่อ iOS 26</t>
        </is>
      </c>
      <c r="B1780" t="inlineStr">
        <is>
          <t>Thitirath Kinaret</t>
        </is>
      </c>
      <c r="C1780" s="2">
        <v>45806</v>
      </c>
      <c r="D1780" s="2">
        <v>45806</v>
      </c>
      <c r="E1780" t="inlineStr">
        <is>
          <t>ปกติ</t>
        </is>
      </c>
      <c r="F1780" s="3"/>
      <c r="G1780"/>
      <c r="H1780" t="inlineStr">
        <is>
          <t>Website, Pic Posts / Album</t>
        </is>
      </c>
      <c r="I1780" t="inlineStr">
        <is>
          <t>งานประจำวัน</t>
        </is>
      </c>
      <c r="J1780" t="inlineStr">
        <is>
          <t>Done</t>
        </is>
      </c>
      <c r="K1780"/>
      <c r="L1780" s="3" t="str">
        <f>=HYPERLINK("https://www.iphonemod.net/apple-may-rename-all-os-ios-19-to-ios-26.html", "https://www.iphonemod.net/apple-may-rename-all-os-ios-19-to-ios-26.html")</f>
        <v>https://www.iphonemod.net/apple-may-rename-all-os-ios-19-to-ios-26.html</v>
      </c>
      <c r="M1780" t="inlineStr">
        <is>
          <t>1</t>
        </is>
      </c>
      <c r="N1780" t="inlineStr">
        <is>
          <t>Apple</t>
        </is>
      </c>
      <c r="O1780"/>
    </row>
    <row r="1781" ht="12.75" customHeight="1">
      <c r="A1781" t="inlineStr">
        <is>
          <t>Logic Pro อัปเดตใหม่สำหรับ Mac, iPad</t>
        </is>
      </c>
      <c r="B1781" t="inlineStr">
        <is>
          <t>Sasithakan Sritonthip</t>
        </is>
      </c>
      <c r="C1781" s="2">
        <v>45806</v>
      </c>
      <c r="D1781" s="2"/>
      <c r="E1781" t="inlineStr">
        <is>
          <t>ปกติ</t>
        </is>
      </c>
      <c r="F1781" s="3" t="str">
        <f>=HYPERLINK("https://www.apple.com/th/newsroom/2025/05/logic-pro-amplifies-beat-making-on-mac-and-ipad-with-advanced-new-capabilities/", "https://www.apple.com/th/newsroom/2025/05/logic-pro-amplifies-beat-making-on-mac-and-ipad-with-advanced-new-capabilities/")</f>
        <v>https://www.apple.com/th/newsroom/2025/05/logic-pro-amplifies-beat-making-on-mac-and-ipad-with-advanced-new-capabilities/</v>
      </c>
      <c r="G1781"/>
      <c r="H1781" t="inlineStr">
        <is>
          <t>Website</t>
        </is>
      </c>
      <c r="I1781" t="inlineStr">
        <is>
          <t>งานประจำวัน</t>
        </is>
      </c>
      <c r="J1781" t="inlineStr">
        <is>
          <t>Done</t>
        </is>
      </c>
      <c r="K1781"/>
      <c r="L1781" s="3"/>
      <c r="M1781" t="inlineStr">
        <is>
          <t>1</t>
        </is>
      </c>
      <c r="N1781" t="inlineStr">
        <is>
          <t>Apple</t>
        </is>
      </c>
      <c r="O1781"/>
    </row>
    <row r="1782" ht="12.75" customHeight="1">
      <c r="A1782" t="inlineStr">
        <is>
          <t>Google Photo เพิ่มฟีเจอร์ AI แก้ไขรูปภาพใหม่</t>
        </is>
      </c>
      <c r="B1782" t="inlineStr">
        <is>
          <t>Nattida Suriyodara</t>
        </is>
      </c>
      <c r="C1782" s="2">
        <v>45806</v>
      </c>
      <c r="D1782" s="2"/>
      <c r="E1782" t="inlineStr">
        <is>
          <t>ปกติ</t>
        </is>
      </c>
      <c r="F1782" s="3"/>
      <c r="G1782"/>
      <c r="H1782" t="inlineStr">
        <is>
          <t>Website</t>
        </is>
      </c>
      <c r="I1782" t="inlineStr">
        <is>
          <t>งานประจำวัน</t>
        </is>
      </c>
      <c r="J1782" t="inlineStr">
        <is>
          <t>Done</t>
        </is>
      </c>
      <c r="K1782"/>
      <c r="L1782" s="3" t="str">
        <f>=HYPERLINK("https://www.iphonemod.net/google-photos-get-ai-editing-tools.html", "https://www.iphonemod.net/google-photos-get-ai-editing-tools.html")</f>
        <v>https://www.iphonemod.net/google-photos-get-ai-editing-tools.html</v>
      </c>
      <c r="M1782" t="inlineStr">
        <is>
          <t>1</t>
        </is>
      </c>
      <c r="N1782" t="inlineStr">
        <is>
          <t>AI</t>
        </is>
      </c>
      <c r="O1782"/>
    </row>
    <row r="1783" ht="12.75" customHeight="1">
      <c r="A1783" t="inlineStr">
        <is>
          <t>Apple ขยายโปรแกรมซ่อมโดยการเปิดให้บริการ Self Service Repair สำหรับ iPad</t>
        </is>
      </c>
      <c r="B1783" t="inlineStr">
        <is>
          <t>Sasithakan Sritonthip</t>
        </is>
      </c>
      <c r="C1783" s="2">
        <v>45806</v>
      </c>
      <c r="D1783" s="2"/>
      <c r="E1783" t="inlineStr">
        <is>
          <t>ปกติ</t>
        </is>
      </c>
      <c r="F1783" s="3" t="str">
        <f>=HYPERLINK("https://nr.apple.com/DC0x6N8vr5", "https://nr.apple.com/DC0x6N8vr5")</f>
        <v>https://nr.apple.com/DC0x6N8vr5</v>
      </c>
      <c r="G1783"/>
      <c r="H1783" t="inlineStr">
        <is>
          <t>Website</t>
        </is>
      </c>
      <c r="I1783" t="inlineStr">
        <is>
          <t>งานประจำวัน</t>
        </is>
      </c>
      <c r="J1783" t="inlineStr">
        <is>
          <t>Done</t>
        </is>
      </c>
      <c r="K1783"/>
      <c r="L1783" s="3"/>
      <c r="M1783" t="inlineStr">
        <is>
          <t>1</t>
        </is>
      </c>
      <c r="N1783" t="inlineStr">
        <is>
          <t>Apple</t>
        </is>
      </c>
      <c r="O1783"/>
    </row>
    <row r="1784" ht="12.75" customHeight="1">
      <c r="A1784" t="inlineStr">
        <is>
          <t>Apple อาจข้าม iOS 19 ไปใช้ชื่อ iOS 26
</t>
        </is>
      </c>
      <c r="B1784" t="inlineStr">
        <is>
          <t>Nattida Suriyodara,Sasithakan Sritonthip</t>
        </is>
      </c>
      <c r="C1784" s="2">
        <v>45806</v>
      </c>
      <c r="D1784" s="2"/>
      <c r="E1784" t="inlineStr">
        <is>
          <t>ปกติ</t>
        </is>
      </c>
      <c r="F1784" s="3" t="str">
        <f>=HYPERLINK("https://www.iphonemod.net/apple-may-rename-all-os-ios-19-to-ios-26.html", "https://www.iphonemod.net/apple-may-rename-all-os-ios-19-to-ios-26.html")</f>
        <v>https://www.iphonemod.net/apple-may-rename-all-os-ios-19-to-ios-26.html</v>
      </c>
      <c r="G1784"/>
      <c r="H1784" t="inlineStr">
        <is>
          <t>Shorts</t>
        </is>
      </c>
      <c r="I1784" t="inlineStr">
        <is>
          <t>งานประจำวัน</t>
        </is>
      </c>
      <c r="J1784" t="inlineStr">
        <is>
          <t>Done</t>
        </is>
      </c>
      <c r="K1784"/>
      <c r="L1784" s="3"/>
      <c r="M1784" t="inlineStr">
        <is>
          <t>1</t>
        </is>
      </c>
      <c r="N1784" t="inlineStr">
        <is>
          <t>Apple</t>
        </is>
      </c>
      <c r="O1784"/>
    </row>
    <row r="1785" ht="12.75" customHeight="1">
      <c r="A1785" t="inlineStr">
        <is>
          <t>ภาพทีเซอร์แรกของ Nothing Phone (3)</t>
        </is>
      </c>
      <c r="B1785" t="inlineStr">
        <is>
          <t>Saktaphat Kordjan,Sasithakan Sritonthip</t>
        </is>
      </c>
      <c r="C1785" s="2">
        <v>45806</v>
      </c>
      <c r="D1785" s="2"/>
      <c r="E1785" t="inlineStr">
        <is>
          <t>ปกติ</t>
        </is>
      </c>
      <c r="F1785" s="3" t="str">
        <f>=HYPERLINK("https://www.gsmarena.com/first_teaser_image_of_the_nothing_phone_3_offers_a_microscopic_glimpse_at_the_new_model-news-67996.php", "https://www.gsmarena.com/first_teaser_image_of_the_nothing_phone_3_offers_a_microscopic_glimpse_at_the_new_model-news-67996.php")</f>
        <v>https://www.gsmarena.com/first_teaser_image_of_the_nothing_phone_3_offers_a_microscopic_glimpse_at_the_new_model-news-67996.php</v>
      </c>
      <c r="G1785"/>
      <c r="H1785" t="inlineStr">
        <is>
          <t>Website, Shorts</t>
        </is>
      </c>
      <c r="I1785" t="inlineStr">
        <is>
          <t>งานประจำวัน</t>
        </is>
      </c>
      <c r="J1785" t="inlineStr">
        <is>
          <t>Done</t>
        </is>
      </c>
      <c r="K1785"/>
      <c r="L1785" s="3"/>
      <c r="M1785" t="inlineStr">
        <is>
          <t>1</t>
        </is>
      </c>
      <c r="N1785" t="inlineStr">
        <is>
          <t>Android</t>
        </is>
      </c>
      <c r="O1785"/>
    </row>
    <row r="1786" ht="12.75" customHeight="1">
      <c r="A1786" t="inlineStr">
        <is>
          <t>iPhone 16 (ตัวธรรมดา) ขายดีสุดในไตรมาส 1 ปี 2025</t>
        </is>
      </c>
      <c r="B1786" t="inlineStr">
        <is>
          <t>Thitirath Kinaret</t>
        </is>
      </c>
      <c r="C1786" s="2">
        <v>45806</v>
      </c>
      <c r="D1786" s="2"/>
      <c r="E1786" t="inlineStr">
        <is>
          <t>ปกติ</t>
        </is>
      </c>
      <c r="F1786" s="3" t="str">
        <f>=HYPERLINK("https://www.macrumors.com/2025/05/28/iphone-16-q1-2025-best-selling-smartphone/", "https://www.macrumors.com/2025/05/28/iphone-16-q1-2025-best-selling-smartphone/")</f>
        <v>https://www.macrumors.com/2025/05/28/iphone-16-q1-2025-best-selling-smartphone/</v>
      </c>
      <c r="G1786"/>
      <c r="H1786" t="inlineStr">
        <is>
          <t>Website, Pic Posts / Album</t>
        </is>
      </c>
      <c r="I1786" t="inlineStr">
        <is>
          <t>งานประจำวัน</t>
        </is>
      </c>
      <c r="J1786" t="inlineStr">
        <is>
          <t>Done</t>
        </is>
      </c>
      <c r="K1786"/>
      <c r="L1786" s="3" t="str">
        <f>=HYPERLINK("https://www.iphonemod.net/iphone-16-best-selling-smartphone-q1-2025-report.html", "https://www.iphonemod.net/iphone-16-best-selling-smartphone-q1-2025-report.html")</f>
        <v>https://www.iphonemod.net/iphone-16-best-selling-smartphone-q1-2025-report.html</v>
      </c>
      <c r="M1786" t="inlineStr">
        <is>
          <t>1</t>
        </is>
      </c>
      <c r="N1786" t="inlineStr">
        <is>
          <t>Apple</t>
        </is>
      </c>
      <c r="O1786"/>
    </row>
    <row r="1787" ht="12.75" customHeight="1">
      <c r="A1787" t="inlineStr">
        <is>
          <t xml:space="preserve">Google Photos เพิ่ม AI แก้ไขรูปภาพ </t>
        </is>
      </c>
      <c r="B1787" t="inlineStr">
        <is>
          <t>Nattida Suriyodara,Sasithakan Sritonthip</t>
        </is>
      </c>
      <c r="C1787" s="2">
        <v>45806</v>
      </c>
      <c r="D1787" s="2"/>
      <c r="E1787" t="inlineStr">
        <is>
          <t>ปกติ</t>
        </is>
      </c>
      <c r="F1787" s="3" t="str">
        <f>=HYPERLINK("https://www.iphonemod.net/google-photos-get-ai-editing-tools.html", "https://www.iphonemod.net/google-photos-get-ai-editing-tools.html")</f>
        <v>https://www.iphonemod.net/google-photos-get-ai-editing-tools.html</v>
      </c>
      <c r="G1787"/>
      <c r="H1787" t="inlineStr">
        <is>
          <t>Shorts</t>
        </is>
      </c>
      <c r="I1787" t="inlineStr">
        <is>
          <t>งานประจำวัน</t>
        </is>
      </c>
      <c r="J1787" t="inlineStr">
        <is>
          <t>Done</t>
        </is>
      </c>
      <c r="K1787"/>
      <c r="L1787" s="3"/>
      <c r="M1787" t="inlineStr">
        <is>
          <t>1</t>
        </is>
      </c>
      <c r="N1787" t="inlineStr">
        <is>
          <t>AI</t>
        </is>
      </c>
      <c r="O1787"/>
    </row>
    <row r="1788" ht="12.75" customHeight="1">
      <c r="A1788" t="inlineStr">
        <is>
          <t>ประกาศวันขาย Nintendo Switch 2 ในไทย</t>
        </is>
      </c>
      <c r="B1788" t="inlineStr">
        <is>
          <t>Thitirath Kinaret</t>
        </is>
      </c>
      <c r="C1788" s="2">
        <v>45806</v>
      </c>
      <c r="D1788" s="2">
        <v>45806</v>
      </c>
      <c r="E1788" t="inlineStr">
        <is>
          <t>ปกติ</t>
        </is>
      </c>
      <c r="F1788" s="3" t="str">
        <f>=HYPERLINK("https://www.facebook.com/iPhonemod/posts/pfbid085mDokQMxPawdwofyueRoZf4JZknUDyntZbbqELgqf4E5mUrdqi9jWnXnYcFZtZnl", "https://www.facebook.com/iPhonemod/posts/pfbid085mDokQMxPawdwofyueRoZf4JZknUDyntZbbqELgqf4E5mUrdqi9jWnXnYcFZtZnl")</f>
        <v>https://www.facebook.com/iPhonemod/posts/pfbid085mDokQMxPawdwofyueRoZf4JZknUDyntZbbqELgqf4E5mUrdqi9jWnXnYcFZtZnl</v>
      </c>
      <c r="G1788"/>
      <c r="H1788" t="inlineStr">
        <is>
          <t>Pic Posts / Album</t>
        </is>
      </c>
      <c r="I1788" t="inlineStr">
        <is>
          <t>งานประจำวัน</t>
        </is>
      </c>
      <c r="J1788" t="inlineStr">
        <is>
          <t>Done</t>
        </is>
      </c>
      <c r="K1788"/>
      <c r="L1788" s="3"/>
      <c r="M1788" t="inlineStr">
        <is>
          <t>1</t>
        </is>
      </c>
      <c r="N1788" t="inlineStr">
        <is>
          <t>Tech</t>
        </is>
      </c>
      <c r="O1788"/>
    </row>
    <row r="1789" ht="12.75" customHeight="1">
      <c r="A1789" t="inlineStr">
        <is>
          <t xml:space="preserve">10 อันดับสมาร์ตโฟนขายดี ไตรมาส 1 ปี 2025 </t>
        </is>
      </c>
      <c r="B1789" t="inlineStr">
        <is>
          <t>Thitirath Kinaret</t>
        </is>
      </c>
      <c r="C1789" s="2">
        <v>45806</v>
      </c>
      <c r="D1789" s="2">
        <v>45806</v>
      </c>
      <c r="E1789" t="inlineStr">
        <is>
          <t>ปกติ</t>
        </is>
      </c>
      <c r="F1789" s="3" t="str">
        <f>=HYPERLINK("https://www.facebook.com/iPhonemod/posts/pfbid0UpVe4xwRvvJHFaUFve4KQKisFvcNAvFMLUhoyrY4693yQQSLEbA9ZS5jeP6fbSDdl", "https://www.facebook.com/iPhonemod/posts/pfbid0UpVe4xwRvvJHFaUFve4KQKisFvcNAvFMLUhoyrY4693yQQSLEbA9ZS5jeP6fbSDdl")</f>
        <v>https://www.facebook.com/iPhonemod/posts/pfbid0UpVe4xwRvvJHFaUFve4KQKisFvcNAvFMLUhoyrY4693yQQSLEbA9ZS5jeP6fbSDdl</v>
      </c>
      <c r="G1789"/>
      <c r="H1789" t="inlineStr">
        <is>
          <t>Pic Posts / Album</t>
        </is>
      </c>
      <c r="I1789" t="inlineStr">
        <is>
          <t>งานประจำวัน</t>
        </is>
      </c>
      <c r="J1789" t="inlineStr">
        <is>
          <t>Done</t>
        </is>
      </c>
      <c r="K1789"/>
      <c r="L1789" s="3"/>
      <c r="M1789" t="inlineStr">
        <is>
          <t>1</t>
        </is>
      </c>
      <c r="N1789" t="inlineStr">
        <is>
          <t>Apple</t>
        </is>
      </c>
      <c r="O1789"/>
    </row>
    <row r="1790" ht="12.75" customHeight="1">
      <c r="A1790" t="inlineStr">
        <is>
          <t>Nintendo Switch 2 วางขาย 26 มิ.ย.</t>
        </is>
      </c>
      <c r="B1790" t="inlineStr">
        <is>
          <t>Saktaphat Kordjan</t>
        </is>
      </c>
      <c r="C1790" s="2">
        <v>45806</v>
      </c>
      <c r="D1790" s="2"/>
      <c r="E1790" t="inlineStr">
        <is>
          <t>ปกติ</t>
        </is>
      </c>
      <c r="F1790" s="3" t="str">
        <f>=HYPERLINK("https://www.nintendo.com/th/hardware/switch2/lineup/index.html", "https://www.nintendo.com/th/hardware/switch2/lineup/index.html")</f>
        <v>https://www.nintendo.com/th/hardware/switch2/lineup/index.html</v>
      </c>
      <c r="G1790"/>
      <c r="H1790" t="inlineStr">
        <is>
          <t>Shorts, Website</t>
        </is>
      </c>
      <c r="I1790" t="inlineStr">
        <is>
          <t>งานประจำวัน</t>
        </is>
      </c>
      <c r="J1790" t="inlineStr">
        <is>
          <t>Done</t>
        </is>
      </c>
      <c r="K1790"/>
      <c r="L1790" s="3" t="str">
        <f>=HYPERLINK("https://www.iphonemod.net/nintendo-switch-2-26-june-2025-specs-feature.html", "https://www.iphonemod.net/nintendo-switch-2-26-june-2025-specs-feature.html")</f>
        <v>https://www.iphonemod.net/nintendo-switch-2-26-june-2025-specs-feature.html</v>
      </c>
      <c r="M1790" t="inlineStr">
        <is>
          <t>1</t>
        </is>
      </c>
      <c r="N1790" t="inlineStr">
        <is>
          <t>Tech</t>
        </is>
      </c>
      <c r="O1790"/>
    </row>
    <row r="1791" ht="12.75" customHeight="1">
      <c r="A1791" t="inlineStr">
        <is>
          <t xml:space="preserve">ทรู มูฟ เอช ยื่นประมูลคลื่นความถี่โทรคมนาคมตามประกาศ กสทช. เพื่อผลประโยชน์สูงสุดของลูกค้า </t>
        </is>
      </c>
      <c r="B1791" t="inlineStr">
        <is>
          <t>Sasithakan Sritonthip</t>
        </is>
      </c>
      <c r="C1791" s="2">
        <v>45806</v>
      </c>
      <c r="D1791" s="2"/>
      <c r="E1791" t="inlineStr">
        <is>
          <t>ปกติ</t>
        </is>
      </c>
      <c r="F1791" s="3" t="str">
        <f>=HYPERLINK("https://trueblog.info/blog/spectrum-auction/", "https://trueblog.info/blog/spectrum-auction/")</f>
        <v>https://trueblog.info/blog/spectrum-auction/</v>
      </c>
      <c r="G1791"/>
      <c r="H1791" t="inlineStr">
        <is>
          <t>Website</t>
        </is>
      </c>
      <c r="I1791" t="inlineStr">
        <is>
          <t>งานลูกค้า</t>
        </is>
      </c>
      <c r="J1791" t="inlineStr">
        <is>
          <t>Done</t>
        </is>
      </c>
      <c r="K1791"/>
      <c r="L1791" s="3"/>
      <c r="M1791" t="inlineStr">
        <is>
          <t>1</t>
        </is>
      </c>
      <c r="N1791" t="inlineStr">
        <is>
          <t>PR</t>
        </is>
      </c>
      <c r="O1791"/>
    </row>
    <row r="1792" ht="12.75" customHeight="1">
      <c r="A1792" t="inlineStr">
        <is>
          <t xml:space="preserve">คลิป เปิดตัว MONA M03 Max   </t>
        </is>
      </c>
      <c r="B1792" t="inlineStr">
        <is>
          <t>Nuttanon</t>
        </is>
      </c>
      <c r="C1792" s="2">
        <v>45806</v>
      </c>
      <c r="D1792" s="2">
        <v>45806</v>
      </c>
      <c r="E1792" t="inlineStr">
        <is>
          <t>ปกติ</t>
        </is>
      </c>
      <c r="F1792" s="3"/>
      <c r="G1792"/>
      <c r="H1792" t="inlineStr">
        <is>
          <t>YouTube</t>
        </is>
      </c>
      <c r="I1792" t="inlineStr">
        <is>
          <t>งานประจำวัน</t>
        </is>
      </c>
      <c r="J1792" t="inlineStr">
        <is>
          <t>Done</t>
        </is>
      </c>
      <c r="K1792"/>
      <c r="L1792" s="3" t="str">
        <f>=HYPERLINK("https://www.youtube.com/watch?v=FBai48-AP9Q&amp;t=1s", "https://www.youtube.com/watch?v=FBai48-AP9Q&amp;t=1s")</f>
        <v>https://www.youtube.com/watch?v=FBai48-AP9Q&amp;t=1s</v>
      </c>
      <c r="M1792" t="inlineStr">
        <is>
          <t>1</t>
        </is>
      </c>
      <c r="N1792" t="inlineStr">
        <is>
          <t>EV</t>
        </is>
      </c>
      <c r="O1792"/>
    </row>
    <row r="1793" ht="12.75" customHeight="1">
      <c r="A1793" t="inlineStr">
        <is>
          <t>NIO และ Zeekr จับมือแชร์เครือข่ายสถานีชาร์จรถ EV อย่างเป็นทางการ</t>
        </is>
      </c>
      <c r="B1793" t="inlineStr">
        <is>
          <t>Nuttanon</t>
        </is>
      </c>
      <c r="C1793" s="2">
        <v>45806</v>
      </c>
      <c r="D1793" s="2">
        <v>45806</v>
      </c>
      <c r="E1793" t="inlineStr">
        <is>
          <t>ปกติ</t>
        </is>
      </c>
      <c r="F1793" s="3" t="str">
        <f>=HYPERLINK("https://ev.iphonemod.net/nio-power-partner-with-zeekr-power-share-charging-stations-in-china/", "https://ev.iphonemod.net/nio-power-partner-with-zeekr-power-share-charging-stations-in-china/")</f>
        <v>https://ev.iphonemod.net/nio-power-partner-with-zeekr-power-share-charging-stations-in-china/</v>
      </c>
      <c r="G1793"/>
      <c r="H1793" t="inlineStr">
        <is>
          <t>Website</t>
        </is>
      </c>
      <c r="I1793" t="inlineStr">
        <is>
          <t>งานประจำวัน</t>
        </is>
      </c>
      <c r="J1793" t="inlineStr">
        <is>
          <t>Done</t>
        </is>
      </c>
      <c r="K1793"/>
      <c r="L1793" s="3" t="str">
        <f>=HYPERLINK("https://ev.iphonemod.net/nio-power-partner-with-zeekr-power-share-charging-stations-in-china/", "https://ev.iphonemod.net/nio-power-partner-with-zeekr-power-share-charging-stations-in-china/")</f>
        <v>https://ev.iphonemod.net/nio-power-partner-with-zeekr-power-share-charging-stations-in-china/</v>
      </c>
      <c r="M1793" t="inlineStr">
        <is>
          <t>1</t>
        </is>
      </c>
      <c r="N1793" t="inlineStr">
        <is>
          <t>EV</t>
        </is>
      </c>
      <c r="O1793"/>
    </row>
    <row r="1794" ht="12.75" customHeight="1">
      <c r="A1794" t="inlineStr">
        <is>
          <t>Elon Musk เตรียมลาออกจากรัฐบาล Trump 30 พ.ค.นี้</t>
        </is>
      </c>
      <c r="B1794" t="inlineStr">
        <is>
          <t>Sakura</t>
        </is>
      </c>
      <c r="C1794" s="2">
        <v>45806</v>
      </c>
      <c r="D1794" s="2">
        <v>45806</v>
      </c>
      <c r="E1794" t="inlineStr">
        <is>
          <t>ปกติ</t>
        </is>
      </c>
      <c r="F1794" s="3" t="str">
        <f>=HYPERLINK("https://ev.iphonemod.net/elon-musk-leaving-trump-administration-30-may-2025/", "https://ev.iphonemod.net/elon-musk-leaving-trump-administration-30-may-2025/")</f>
        <v>https://ev.iphonemod.net/elon-musk-leaving-trump-administration-30-may-2025/</v>
      </c>
      <c r="G1794"/>
      <c r="H1794" t="inlineStr">
        <is>
          <t>Website, Pic Posts / Album</t>
        </is>
      </c>
      <c r="I1794" t="inlineStr">
        <is>
          <t>งานประจำวัน</t>
        </is>
      </c>
      <c r="J1794" t="inlineStr">
        <is>
          <t>Done</t>
        </is>
      </c>
      <c r="K1794"/>
      <c r="L1794" s="3" t="str">
        <f>=HYPERLINK("https://www.facebook.com/iPhonemod/posts/pfbid02UwUy6iLqupTAtpJ2nGuwthhBHhCdPjtyFNgZqpW75e8KxbE8Q6uDaYtt2UYq8rZbl", "https://www.facebook.com/iPhonemod/posts/pfbid02UwUy6iLqupTAtpJ2nGuwthhBHhCdPjtyFNgZqpW75e8KxbE8Q6uDaYtt2UYq8rZbl")</f>
        <v>https://www.facebook.com/iPhonemod/posts/pfbid02UwUy6iLqupTAtpJ2nGuwthhBHhCdPjtyFNgZqpW75e8KxbE8Q6uDaYtt2UYq8rZbl</v>
      </c>
      <c r="M1794" t="inlineStr">
        <is>
          <t>1</t>
        </is>
      </c>
      <c r="N1794" t="inlineStr">
        <is>
          <t>EV</t>
        </is>
      </c>
      <c r="O1794"/>
    </row>
    <row r="1795" ht="12.75" customHeight="1">
      <c r="A1795" t="inlineStr">
        <is>
          <t>แอป Tesla อัปเดตใหม่ รองรับ Live Activity แสดงการชาร์จ Tesla Supercharger แล้ว (สำหรับ iOS)</t>
        </is>
      </c>
      <c r="B1795" t="inlineStr">
        <is>
          <t>Sakura</t>
        </is>
      </c>
      <c r="C1795" s="2">
        <v>45806</v>
      </c>
      <c r="D1795" s="2">
        <v>45806</v>
      </c>
      <c r="E1795" t="inlineStr">
        <is>
          <t>ปกติ</t>
        </is>
      </c>
      <c r="F1795" s="3" t="str">
        <f>=HYPERLINK("https://ev.iphonemod.net/tesla-app-update-4-45-0-support-iphone-live-activity-feature/", "https://ev.iphonemod.net/tesla-app-update-4-45-0-support-iphone-live-activity-feature/")</f>
        <v>https://ev.iphonemod.net/tesla-app-update-4-45-0-support-iphone-live-activity-feature/</v>
      </c>
      <c r="G1795"/>
      <c r="H1795" t="inlineStr">
        <is>
          <t>Pic Posts / Album, Website</t>
        </is>
      </c>
      <c r="I1795" t="inlineStr">
        <is>
          <t>งานประจำวัน</t>
        </is>
      </c>
      <c r="J1795" t="inlineStr">
        <is>
          <t>Done</t>
        </is>
      </c>
      <c r="K1795"/>
      <c r="L1795" s="3" t="str">
        <f>=HYPERLINK("https://www.facebook.com/iPhonemod/posts/pfbid02wDqYHYw66SKLR9GDuzZokHrSK8Qs8jC81oah8fQUBFFP53tC6HNr947MLuaeCEL3l", "https://www.facebook.com/iPhonemod/posts/pfbid02wDqYHYw66SKLR9GDuzZokHrSK8Qs8jC81oah8fQUBFFP53tC6HNr947MLuaeCEL3l")</f>
        <v>https://www.facebook.com/iPhonemod/posts/pfbid02wDqYHYw66SKLR9GDuzZokHrSK8Qs8jC81oah8fQUBFFP53tC6HNr947MLuaeCEL3l</v>
      </c>
      <c r="M1795" t="inlineStr">
        <is>
          <t>1</t>
        </is>
      </c>
      <c r="N1795" t="inlineStr">
        <is>
          <t>EV</t>
        </is>
      </c>
      <c r="O1795"/>
    </row>
    <row r="1796" ht="12.75" customHeight="1">
      <c r="A1796" t="inlineStr">
        <is>
          <t>ผลสำรวจ UBS ชี้ BYD และ Xiaomi แซงหน้า Tesla ขึ้นเป็นตัวเลือกอันดับหนึ่ง ของผู้ซื้อรถชาวจีน</t>
        </is>
      </c>
      <c r="B1796" t="inlineStr">
        <is>
          <t>Sakura</t>
        </is>
      </c>
      <c r="C1796" s="2">
        <v>45806</v>
      </c>
      <c r="D1796" s="2">
        <v>45806</v>
      </c>
      <c r="E1796" t="inlineStr">
        <is>
          <t>ปกติ</t>
        </is>
      </c>
      <c r="F1796" s="3" t="str">
        <f>=HYPERLINK("https://ev.iphonemod.net/byd-xiaomi-may-overtake-tesla-as-top-choice-for-chinese-ubs-servey-report/", "https://ev.iphonemod.net/byd-xiaomi-may-overtake-tesla-as-top-choice-for-chinese-ubs-servey-report/")</f>
        <v>https://ev.iphonemod.net/byd-xiaomi-may-overtake-tesla-as-top-choice-for-chinese-ubs-servey-report/</v>
      </c>
      <c r="G1796"/>
      <c r="H1796" t="inlineStr">
        <is>
          <t>Website</t>
        </is>
      </c>
      <c r="I1796" t="inlineStr">
        <is>
          <t>งานประจำวัน</t>
        </is>
      </c>
      <c r="J1796" t="inlineStr">
        <is>
          <t>Done</t>
        </is>
      </c>
      <c r="K1796"/>
      <c r="L1796" s="3"/>
      <c r="M1796" t="inlineStr">
        <is>
          <t>1</t>
        </is>
      </c>
      <c r="N1796" t="inlineStr">
        <is>
          <t>EV</t>
        </is>
      </c>
      <c r="O1796"/>
    </row>
    <row r="1797" ht="12.75" customHeight="1">
      <c r="A1797" t="inlineStr">
        <is>
          <t>Tesla เตรียมเปิดบริการ Robotaxi วันที่ 12 มิ.ย. นี้ ช่วงแรกเปิดให้ใช้เฉพาะพนักงาน</t>
        </is>
      </c>
      <c r="B1797" t="inlineStr">
        <is>
          <t>Sakura</t>
        </is>
      </c>
      <c r="C1797" s="2">
        <v>45806</v>
      </c>
      <c r="D1797" s="2">
        <v>45806</v>
      </c>
      <c r="E1797" t="inlineStr">
        <is>
          <t>ปกติ</t>
        </is>
      </c>
      <c r="F1797" s="3" t="str">
        <f>=HYPERLINK("https://ev.iphonemod.net/tesla-will-launch-robotaxi-service-12-june-2025-report/", "https://ev.iphonemod.net/tesla-will-launch-robotaxi-service-12-june-2025-report/")</f>
        <v>https://ev.iphonemod.net/tesla-will-launch-robotaxi-service-12-june-2025-report/</v>
      </c>
      <c r="G1797"/>
      <c r="H1797" t="inlineStr">
        <is>
          <t>Website</t>
        </is>
      </c>
      <c r="I1797" t="inlineStr">
        <is>
          <t>งานประจำวัน</t>
        </is>
      </c>
      <c r="J1797" t="inlineStr">
        <is>
          <t>Done</t>
        </is>
      </c>
      <c r="K1797"/>
      <c r="L1797" s="3"/>
      <c r="M1797" t="inlineStr">
        <is>
          <t>1</t>
        </is>
      </c>
      <c r="N1797" t="inlineStr">
        <is>
          <t>EV</t>
        </is>
      </c>
      <c r="O1797"/>
    </row>
    <row r="1798" ht="12.75" customHeight="1">
      <c r="A1798" t="inlineStr">
        <is>
          <t>Samsung อาจเปิดตัว Galaxy Tab S10 Lite เร็ว ๆ นี้</t>
        </is>
      </c>
      <c r="B1798" t="inlineStr">
        <is>
          <t>Saktaphat Kordjan</t>
        </is>
      </c>
      <c r="C1798" s="2">
        <v>45806</v>
      </c>
      <c r="D1798" s="2"/>
      <c r="E1798" t="inlineStr">
        <is>
          <t>ปกติ</t>
        </is>
      </c>
      <c r="F1798" s="3" t="str">
        <f>=HYPERLINK("https://www.sammobile.com/news/upcoming-galaxy-tab-s10-lite-may-have-popped-up-in-a-benchmark/", "https://www.sammobile.com/news/upcoming-galaxy-tab-s10-lite-may-have-popped-up-in-a-benchmark/")</f>
        <v>https://www.sammobile.com/news/upcoming-galaxy-tab-s10-lite-may-have-popped-up-in-a-benchmark/</v>
      </c>
      <c r="G1798"/>
      <c r="H1798" t="inlineStr">
        <is>
          <t>Website</t>
        </is>
      </c>
      <c r="I1798" t="inlineStr">
        <is>
          <t>งานประจำวัน</t>
        </is>
      </c>
      <c r="J1798" t="inlineStr">
        <is>
          <t>Done</t>
        </is>
      </c>
      <c r="K1798"/>
      <c r="L1798" s="3"/>
      <c r="M1798" t="inlineStr">
        <is>
          <t>1</t>
        </is>
      </c>
      <c r="N1798" t="inlineStr">
        <is>
          <t>Android</t>
        </is>
      </c>
      <c r="O1798"/>
    </row>
    <row r="1799" ht="12.75" customHeight="1">
      <c r="A1799" t="inlineStr">
        <is>
          <t>ฟีเจอร์ AI ใหม่ ในเครื่องมือแต่งภาพ Google Photo</t>
        </is>
      </c>
      <c r="B1799" t="inlineStr">
        <is>
          <t>Thitirath Kinaret</t>
        </is>
      </c>
      <c r="C1799" s="2">
        <v>45806</v>
      </c>
      <c r="D1799" s="2">
        <v>45806</v>
      </c>
      <c r="E1799" t="inlineStr">
        <is>
          <t>ปกติ</t>
        </is>
      </c>
      <c r="F1799" s="3" t="str">
        <f>=HYPERLINK("https://www.facebook.com/iPhonemod/posts/pfbid06aBEESkDEzXEQ2QYEtY59wUmcVog6wQppGtTwYX3GV8neGpiPbbD39L9Y3wmoMzPl", "https://www.facebook.com/iPhonemod/posts/pfbid06aBEESkDEzXEQ2QYEtY59wUmcVog6wQppGtTwYX3GV8neGpiPbbD39L9Y3wmoMzPl")</f>
        <v>https://www.facebook.com/iPhonemod/posts/pfbid06aBEESkDEzXEQ2QYEtY59wUmcVog6wQppGtTwYX3GV8neGpiPbbD39L9Y3wmoMzPl</v>
      </c>
      <c r="G1799"/>
      <c r="H1799" t="inlineStr">
        <is>
          <t>Pic Posts / Album</t>
        </is>
      </c>
      <c r="I1799" t="inlineStr">
        <is>
          <t>งานประจำวัน</t>
        </is>
      </c>
      <c r="J1799" t="inlineStr">
        <is>
          <t>Done</t>
        </is>
      </c>
      <c r="K1799"/>
      <c r="L1799" s="3"/>
      <c r="M1799" t="inlineStr">
        <is>
          <t>1</t>
        </is>
      </c>
      <c r="N1799" t="inlineStr">
        <is>
          <t>Android, AI</t>
        </is>
      </c>
      <c r="O1799"/>
    </row>
    <row r="1800" ht="12.75" customHeight="1">
      <c r="A1800" t="inlineStr">
        <is>
          <t xml:space="preserve">Huawei เปิดตัว Nova Y73 </t>
        </is>
      </c>
      <c r="B1800" t="inlineStr">
        <is>
          <t>Saktaphat Kordjan</t>
        </is>
      </c>
      <c r="C1800" s="2">
        <v>45806</v>
      </c>
      <c r="D1800" s="2">
        <v>45806</v>
      </c>
      <c r="E1800" t="inlineStr">
        <is>
          <t>ปกติ</t>
        </is>
      </c>
      <c r="F1800" s="3"/>
      <c r="G1800"/>
      <c r="H1800" t="inlineStr">
        <is>
          <t>Website</t>
        </is>
      </c>
      <c r="I1800" t="inlineStr">
        <is>
          <t>งานประจำวัน</t>
        </is>
      </c>
      <c r="J1800" t="inlineStr">
        <is>
          <t>Done</t>
        </is>
      </c>
      <c r="K1800" t="inlineStr">
        <is>
          <t>https://www.gsmarena.com/huawei_nova_y73_announced_with_familiar_looks_and_specs-news-68001.php</t>
        </is>
      </c>
      <c r="L1800" s="3"/>
      <c r="M1800" t="inlineStr">
        <is>
          <t>1</t>
        </is>
      </c>
      <c r="N1800" t="inlineStr">
        <is>
          <t>Android</t>
        </is>
      </c>
      <c r="O1800"/>
    </row>
    <row r="1801" ht="12.75" customHeight="1">
      <c r="A1801" t="inlineStr">
        <is>
          <t>Carasti พลิกโฉมวงการยานยนต์ในไทยด้วยโมเดล Car Subscription แบบครบวงจร พร้อมผนึกพันธมิตรเพื่อขยายโอกาสทางธุรกิจ
</t>
        </is>
      </c>
      <c r="B1801" t="inlineStr">
        <is>
          <t>Nuttanon</t>
        </is>
      </c>
      <c r="C1801" s="2">
        <v>45806</v>
      </c>
      <c r="D1801" s="2">
        <v>45806</v>
      </c>
      <c r="E1801" t="inlineStr">
        <is>
          <t>ปกติ</t>
        </is>
      </c>
      <c r="F1801" s="3" t="str">
        <f>=HYPERLINK("https://ev.iphonemod.net/carasti-new-car-subscription-app/", "https://ev.iphonemod.net/carasti-new-car-subscription-app/")</f>
        <v>https://ev.iphonemod.net/carasti-new-car-subscription-app/</v>
      </c>
      <c r="G1801"/>
      <c r="H1801" t="inlineStr">
        <is>
          <t>Website</t>
        </is>
      </c>
      <c r="I1801" t="inlineStr">
        <is>
          <t>งานประจำวัน</t>
        </is>
      </c>
      <c r="J1801" t="inlineStr">
        <is>
          <t>Done</t>
        </is>
      </c>
      <c r="K1801"/>
      <c r="L1801" s="3"/>
      <c r="M1801" t="inlineStr">
        <is>
          <t>1</t>
        </is>
      </c>
      <c r="N1801" t="inlineStr">
        <is>
          <t>EV, PR</t>
        </is>
      </c>
      <c r="O1801"/>
    </row>
    <row r="1802" ht="12.75" customHeight="1">
      <c r="A1802" t="inlineStr">
        <is>
          <t>แบตเตอรี่ Aegis Gold Brick ในรถรุ่น Geely Galaxy E5 ผ่านการทดสอบสุดโหด ใช้รถถังหนัก 36 ตันบดทับ</t>
        </is>
      </c>
      <c r="B1802" t="inlineStr">
        <is>
          <t>Sakura</t>
        </is>
      </c>
      <c r="C1802" s="2">
        <v>45806</v>
      </c>
      <c r="D1802" s="2">
        <v>45806</v>
      </c>
      <c r="E1802" t="inlineStr">
        <is>
          <t>ปกติ</t>
        </is>
      </c>
      <c r="F1802" s="3" t="str">
        <f>=HYPERLINK("https://ev.iphonemod.net/geely-galaxy-e5s-aegis-gold-brick-battery-tank-compression-testing-pass/", "https://ev.iphonemod.net/geely-galaxy-e5s-aegis-gold-brick-battery-tank-compression-testing-pass/")</f>
        <v>https://ev.iphonemod.net/geely-galaxy-e5s-aegis-gold-brick-battery-tank-compression-testing-pass/</v>
      </c>
      <c r="G1802"/>
      <c r="H1802" t="inlineStr">
        <is>
          <t>Website</t>
        </is>
      </c>
      <c r="I1802" t="inlineStr">
        <is>
          <t>งานประจำวัน</t>
        </is>
      </c>
      <c r="J1802" t="inlineStr">
        <is>
          <t>Done</t>
        </is>
      </c>
      <c r="K1802"/>
      <c r="L1802" s="3"/>
      <c r="M1802" t="inlineStr">
        <is>
          <t>1</t>
        </is>
      </c>
      <c r="N1802" t="inlineStr">
        <is>
          <t>EV</t>
        </is>
      </c>
      <c r="O1802"/>
    </row>
    <row r="1803" ht="12.75" customHeight="1">
      <c r="A1803" t="inlineStr">
        <is>
          <t>คำท้าวันวิ่ง 4 มิ.ย. 2025</t>
        </is>
      </c>
      <c r="B1803" t="inlineStr">
        <is>
          <t>Thitirath Kinaret</t>
        </is>
      </c>
      <c r="C1803" s="2">
        <v>45805</v>
      </c>
      <c r="D1803" s="2"/>
      <c r="E1803" t="inlineStr">
        <is>
          <t>ปกติ</t>
        </is>
      </c>
      <c r="F1803" s="3"/>
      <c r="G1803"/>
      <c r="H1803" t="inlineStr">
        <is>
          <t>Pic Posts / Album</t>
        </is>
      </c>
      <c r="I1803" t="inlineStr">
        <is>
          <t>งานประจำวัน</t>
        </is>
      </c>
      <c r="J1803" t="inlineStr">
        <is>
          <t>Done</t>
        </is>
      </c>
      <c r="K1803"/>
      <c r="L1803" s="3" t="str">
        <f>=HYPERLINK("https://www.facebook.com/iPhonemod/posts/pfbid02kpfocytisZdLJBsqiorMhHXy3o4pxz5w4YYcyY6FUX5pHyJ5KYbQivFU6yGfhsaGl", "https://www.facebook.com/iPhonemod/posts/pfbid02kpfocytisZdLJBsqiorMhHXy3o4pxz5w4YYcyY6FUX5pHyJ5KYbQivFU6yGfhsaGl")</f>
        <v>https://www.facebook.com/iPhonemod/posts/pfbid02kpfocytisZdLJBsqiorMhHXy3o4pxz5w4YYcyY6FUX5pHyJ5KYbQivFU6yGfhsaGl</v>
      </c>
      <c r="M1803" t="inlineStr">
        <is>
          <t>1</t>
        </is>
      </c>
      <c r="N1803" t="inlineStr">
        <is>
          <t>Apple</t>
        </is>
      </c>
      <c r="O1803"/>
    </row>
    <row r="1804" ht="12.75" customHeight="1">
      <c r="A1804" t="inlineStr">
        <is>
          <t>WhatsApp ปล่อยอัปเดตแอปสำหรับ iPad แล้ว!</t>
        </is>
      </c>
      <c r="B1804" t="inlineStr">
        <is>
          <t>Thitirath Kinaret</t>
        </is>
      </c>
      <c r="C1804" s="2">
        <v>45805</v>
      </c>
      <c r="D1804" s="2"/>
      <c r="E1804" t="inlineStr">
        <is>
          <t>ปกติ</t>
        </is>
      </c>
      <c r="F1804" s="3" t="str">
        <f>=HYPERLINK("https://www.macrumors.com/2025/05/27/whatsapp-for-ipad-now-available/", "https://www.macrumors.com/2025/05/27/whatsapp-for-ipad-now-available/")</f>
        <v>https://www.macrumors.com/2025/05/27/whatsapp-for-ipad-now-available/</v>
      </c>
      <c r="G1804"/>
      <c r="H1804" t="inlineStr">
        <is>
          <t>Website</t>
        </is>
      </c>
      <c r="I1804" t="inlineStr">
        <is>
          <t>งานประจำวัน</t>
        </is>
      </c>
      <c r="J1804" t="inlineStr">
        <is>
          <t>Done</t>
        </is>
      </c>
      <c r="K1804"/>
      <c r="L1804" s="3" t="str">
        <f>=HYPERLINK("https://www.iphonemod.net/whatsapp-for-ipad-available.html", "https://www.iphonemod.net/whatsapp-for-ipad-available.html")</f>
        <v>https://www.iphonemod.net/whatsapp-for-ipad-available.html</v>
      </c>
      <c r="M1804" t="inlineStr">
        <is>
          <t>1</t>
        </is>
      </c>
      <c r="N1804" t="inlineStr">
        <is>
          <t>Apple</t>
        </is>
      </c>
      <c r="O1804"/>
    </row>
    <row r="1805" ht="12.75" customHeight="1">
      <c r="A1805" t="inlineStr">
        <is>
          <t>Apple เผยปี 2024 ได้บล็อคแอปความเสี่ยงสูงไปมากถึง 2 ล้านแอป</t>
        </is>
      </c>
      <c r="B1805" t="inlineStr">
        <is>
          <t>Thitirath Kinaret</t>
        </is>
      </c>
      <c r="C1805" s="2">
        <v>45805</v>
      </c>
      <c r="D1805" s="2"/>
      <c r="E1805" t="inlineStr">
        <is>
          <t>ปกติ</t>
        </is>
      </c>
      <c r="F1805" s="3" t="str">
        <f>=HYPERLINK("https://www.apple.com/th/newsroom/2025/05/the-app-store-prevented-more-than-9-billion-usd-in-fraudulent-transactions/", "https://www.apple.com/th/newsroom/2025/05/the-app-store-prevented-more-than-9-billion-usd-in-fraudulent-transactions/")</f>
        <v>https://www.apple.com/th/newsroom/2025/05/the-app-store-prevented-more-than-9-billion-usd-in-fraudulent-transactions/</v>
      </c>
      <c r="G1805"/>
      <c r="H1805" t="inlineStr">
        <is>
          <t>Website, Pic Posts / Album</t>
        </is>
      </c>
      <c r="I1805" t="inlineStr">
        <is>
          <t>งานประจำวัน</t>
        </is>
      </c>
      <c r="J1805" t="inlineStr">
        <is>
          <t>Done</t>
        </is>
      </c>
      <c r="K1805"/>
      <c r="L1805" s="3" t="str">
        <f>=HYPERLINK("https://www.iphonemod.net/app-store-prevented-fraudulent-transactions-2024-report.html", "https://www.iphonemod.net/app-store-prevented-fraudulent-transactions-2024-report.html")</f>
        <v>https://www.iphonemod.net/app-store-prevented-fraudulent-transactions-2024-report.html</v>
      </c>
      <c r="M1805" t="inlineStr">
        <is>
          <t>1</t>
        </is>
      </c>
      <c r="N1805" t="inlineStr">
        <is>
          <t>Apple</t>
        </is>
      </c>
      <c r="O1805"/>
    </row>
    <row r="1806" ht="12.75" customHeight="1">
      <c r="A1806" t="inlineStr">
        <is>
          <t>เตรียมรับคำท้าวันวิ่ง 4 มิ.ย. 2025</t>
        </is>
      </c>
      <c r="B1806" t="inlineStr">
        <is>
          <t>Nattida Suriyodara</t>
        </is>
      </c>
      <c r="C1806" s="2">
        <v>45805</v>
      </c>
      <c r="D1806" s="2"/>
      <c r="E1806" t="inlineStr">
        <is>
          <t>ปกติ</t>
        </is>
      </c>
      <c r="F1806" s="3"/>
      <c r="G1806"/>
      <c r="H1806" t="inlineStr">
        <is>
          <t>Shorts</t>
        </is>
      </c>
      <c r="I1806" t="inlineStr">
        <is>
          <t>งานประจำวัน</t>
        </is>
      </c>
      <c r="J1806" t="inlineStr">
        <is>
          <t>Done</t>
        </is>
      </c>
      <c r="K1806"/>
      <c r="L1806" s="3"/>
      <c r="M1806" t="inlineStr">
        <is>
          <t>1</t>
        </is>
      </c>
      <c r="N1806" t="inlineStr">
        <is>
          <t>Apple</t>
        </is>
      </c>
      <c r="O1806"/>
    </row>
    <row r="1807" ht="12.75" customHeight="1">
      <c r="A1807" t="inlineStr">
        <is>
          <t>Google AI Studio vs. Notebook LM</t>
        </is>
      </c>
      <c r="B1807" t="inlineStr">
        <is>
          <t>Nattida Suriyodara</t>
        </is>
      </c>
      <c r="C1807" s="2">
        <v>45805</v>
      </c>
      <c r="D1807" s="2"/>
      <c r="E1807" t="inlineStr">
        <is>
          <t>ปกติ</t>
        </is>
      </c>
      <c r="F1807" s="3" t="str">
        <f>=HYPERLINK("https://notebooklm.google", "https://notebooklm.googlehttps://aistudio.google.com/prompts/new_chat")</f>
        <v>https://notebooklm.googlehttps://aistudio.google.com/prompts/new_chat</v>
      </c>
      <c r="G1807"/>
      <c r="H1807" t="inlineStr">
        <is>
          <t>YouTube</t>
        </is>
      </c>
      <c r="I1807" t="inlineStr">
        <is>
          <t>งานประจำวัน</t>
        </is>
      </c>
      <c r="J1807" t="inlineStr">
        <is>
          <t>Done</t>
        </is>
      </c>
      <c r="K1807"/>
      <c r="L1807" s="3"/>
      <c r="M1807" t="inlineStr">
        <is>
          <t>1</t>
        </is>
      </c>
      <c r="N1807" t="inlineStr">
        <is>
          <t>AI</t>
        </is>
      </c>
      <c r="O1807"/>
    </row>
    <row r="1808" ht="12.75" customHeight="1">
      <c r="A1808" t="inlineStr">
        <is>
          <t>ข้อควรระวังในการใช้ AI มีอะไรบ้าง</t>
        </is>
      </c>
      <c r="B1808" t="inlineStr">
        <is>
          <t>Nattida Suriyodara</t>
        </is>
      </c>
      <c r="C1808" s="2">
        <v>45805</v>
      </c>
      <c r="D1808" s="2"/>
      <c r="E1808" t="inlineStr">
        <is>
          <t>ปกติ</t>
        </is>
      </c>
      <c r="F1808" s="3" t="str">
        <f>=HYPERLINK("https://www.iphonemod.net/how-to-use-ai-safely-and-responsibly.html", "https://www.iphonemod.net/how-to-use-ai-safely-and-responsibly.html")</f>
        <v>https://www.iphonemod.net/how-to-use-ai-safely-and-responsibly.html</v>
      </c>
      <c r="G1808"/>
      <c r="H1808" t="inlineStr">
        <is>
          <t>Website</t>
        </is>
      </c>
      <c r="I1808" t="inlineStr">
        <is>
          <t>งานประจำวัน</t>
        </is>
      </c>
      <c r="J1808" t="inlineStr">
        <is>
          <t>Done</t>
        </is>
      </c>
      <c r="K1808"/>
      <c r="L1808" s="3"/>
      <c r="M1808" t="inlineStr">
        <is>
          <t>1</t>
        </is>
      </c>
      <c r="N1808" t="inlineStr">
        <is>
          <t>AI</t>
        </is>
      </c>
      <c r="O1808"/>
    </row>
    <row r="1809" ht="12.75" customHeight="1">
      <c r="A1809" t="inlineStr">
        <is>
          <t>Global Running Day กับ Apple Watch Limited-edition Award</t>
        </is>
      </c>
      <c r="B1809" t="inlineStr">
        <is>
          <t>Nattida Suriyodara</t>
        </is>
      </c>
      <c r="C1809" s="2">
        <v>45805</v>
      </c>
      <c r="D1809" s="2"/>
      <c r="E1809" t="inlineStr">
        <is>
          <t>ด่วน!</t>
        </is>
      </c>
      <c r="F1809" s="3" t="str">
        <f>=HYPERLINK("https://www.iphonemod.net/apple-global-running-day-2025.html", "https://www.iphonemod.net/apple-global-running-day-2025.html")</f>
        <v>https://www.iphonemod.net/apple-global-running-day-2025.html</v>
      </c>
      <c r="G1809"/>
      <c r="H1809" t="inlineStr">
        <is>
          <t>Website</t>
        </is>
      </c>
      <c r="I1809" t="inlineStr">
        <is>
          <t>งานลูกค้า</t>
        </is>
      </c>
      <c r="J1809" t="inlineStr">
        <is>
          <t>Done</t>
        </is>
      </c>
      <c r="K1809"/>
      <c r="L1809" s="3"/>
      <c r="M1809" t="inlineStr">
        <is>
          <t>1</t>
        </is>
      </c>
      <c r="N1809" t="inlineStr">
        <is>
          <t>Apple</t>
        </is>
      </c>
      <c r="O1809"/>
    </row>
    <row r="1810" ht="12.75" customHeight="1">
      <c r="A1810" t="inlineStr">
        <is>
          <t xml:space="preserve">Realme GT7 </t>
        </is>
      </c>
      <c r="B1810" t="inlineStr">
        <is>
          <t>Saktaphat Kordjan</t>
        </is>
      </c>
      <c r="C1810" s="2">
        <v>45805</v>
      </c>
      <c r="D1810" s="2"/>
      <c r="E1810" t="inlineStr">
        <is>
          <t>ปกติ</t>
        </is>
      </c>
      <c r="F1810" s="3" t="str">
        <f>=HYPERLINK("https://www.realme.com/th/realme-gt-7-5g", "https://www.realme.com/th/realme-gt-7-5g")</f>
        <v>https://www.realme.com/th/realme-gt-7-5g</v>
      </c>
      <c r="G1810"/>
      <c r="H1810" t="inlineStr">
        <is>
          <t>Website</t>
        </is>
      </c>
      <c r="I1810" t="inlineStr">
        <is>
          <t>งานประจำวัน</t>
        </is>
      </c>
      <c r="J1810" t="inlineStr">
        <is>
          <t>Done</t>
        </is>
      </c>
      <c r="K1810" t="inlineStr">
        <is>
          <t xml:space="preserve">สเปค ราคา ฟีเจอร์ </t>
        </is>
      </c>
      <c r="L1810" s="3"/>
      <c r="M1810" t="inlineStr">
        <is>
          <t>1</t>
        </is>
      </c>
      <c r="N1810" t="inlineStr">
        <is>
          <t>Android</t>
        </is>
      </c>
      <c r="O1810"/>
    </row>
    <row r="1811" ht="12.75" customHeight="1">
      <c r="A1811" t="inlineStr">
        <is>
          <t>Acer Nitro Smart Monitor</t>
        </is>
      </c>
      <c r="B1811" t="inlineStr">
        <is>
          <t>Saktaphat Kordjan</t>
        </is>
      </c>
      <c r="C1811" s="2">
        <v>45805</v>
      </c>
      <c r="D1811" s="2"/>
      <c r="E1811" t="inlineStr">
        <is>
          <t>ปกติ</t>
        </is>
      </c>
      <c r="F1811" s="3"/>
      <c r="G1811"/>
      <c r="H1811" t="inlineStr">
        <is>
          <t>Website</t>
        </is>
      </c>
      <c r="I1811" t="inlineStr">
        <is>
          <t>งานประจำวัน</t>
        </is>
      </c>
      <c r="J1811" t="inlineStr">
        <is>
          <t>Done</t>
        </is>
      </c>
      <c r="K1811" t="inlineStr">
        <is>
          <t>งานประชาสัมพันธ์</t>
        </is>
      </c>
      <c r="L1811" s="3"/>
      <c r="M1811" t="inlineStr">
        <is>
          <t>1</t>
        </is>
      </c>
      <c r="N1811" t="inlineStr">
        <is>
          <t>Tech</t>
        </is>
      </c>
      <c r="O1811"/>
    </row>
    <row r="1812" ht="12.75" customHeight="1">
      <c r="A1812" t="inlineStr">
        <is>
          <t>โครงการ "ถนนปลอดภัย รณรงค์สร้างวินัยจราจร"</t>
        </is>
      </c>
      <c r="B1812" t="inlineStr">
        <is>
          <t>Thitirath Kinaret</t>
        </is>
      </c>
      <c r="C1812" s="2">
        <v>45805</v>
      </c>
      <c r="D1812" s="2">
        <v>45805</v>
      </c>
      <c r="E1812" t="inlineStr">
        <is>
          <t>ปกติ</t>
        </is>
      </c>
      <c r="F1812" s="3" t="str">
        <f>=HYPERLINK("https://www.facebook.com/iPhonemod/posts/pfbid0QUKxJXyceSBuK9nSQspQXob6f4BeshQHNqbfJm1aKkujd5KtjgstQhBMFpvvPNCZl", "https://www.facebook.com/iPhonemod/posts/pfbid0QUKxJXyceSBuK9nSQspQXob6f4BeshQHNqbfJm1aKkujd5KtjgstQhBMFpvvPNCZl")</f>
        <v>https://www.facebook.com/iPhonemod/posts/pfbid0QUKxJXyceSBuK9nSQspQXob6f4BeshQHNqbfJm1aKkujd5KtjgstQhBMFpvvPNCZl</v>
      </c>
      <c r="G1812"/>
      <c r="H1812" t="inlineStr">
        <is>
          <t>Pic Posts / Album</t>
        </is>
      </c>
      <c r="I1812" t="inlineStr">
        <is>
          <t>งานประจำวัน</t>
        </is>
      </c>
      <c r="J1812" t="inlineStr">
        <is>
          <t>Done</t>
        </is>
      </c>
      <c r="K1812"/>
      <c r="L1812" s="3" t="str">
        <f>=HYPERLINK("https://www.facebook.com/iPhonemod/posts/pfbid0QUKxJXyceSBuK9nSQspQXob6f4BeshQHNqbfJm1aKkujd5KtjgstQhBMFpvvPNCZl", "https://www.facebook.com/iPhonemod/posts/pfbid0QUKxJXyceSBuK9nSQspQXob6f4BeshQHNqbfJm1aKkujd5KtjgstQhBMFpvvPNCZl")</f>
        <v>https://www.facebook.com/iPhonemod/posts/pfbid0QUKxJXyceSBuK9nSQspQXob6f4BeshQHNqbfJm1aKkujd5KtjgstQhBMFpvvPNCZl</v>
      </c>
      <c r="M1812" t="inlineStr">
        <is>
          <t>1</t>
        </is>
      </c>
      <c r="N1812" t="inlineStr">
        <is>
          <t>ทั่วไป</t>
        </is>
      </c>
      <c r="O1812"/>
    </row>
    <row r="1813" ht="12.75" customHeight="1">
      <c r="A1813" t="inlineStr">
        <is>
          <t>Mark Cuban นักลงทุนชื่อดัง อยากขายรถ Tesla ทิ้ง เพราะปุ่มกดไฟเลี้ยวใช้งานยาก</t>
        </is>
      </c>
      <c r="B1813" t="inlineStr">
        <is>
          <t>Sakura</t>
        </is>
      </c>
      <c r="C1813" s="2">
        <v>45805</v>
      </c>
      <c r="D1813" s="2">
        <v>45805</v>
      </c>
      <c r="E1813" t="inlineStr">
        <is>
          <t>ปกติ</t>
        </is>
      </c>
      <c r="F1813" s="3"/>
      <c r="G1813"/>
      <c r="H1813" t="inlineStr">
        <is>
          <t>Website</t>
        </is>
      </c>
      <c r="I1813" t="inlineStr">
        <is>
          <t>งานประจำวัน</t>
        </is>
      </c>
      <c r="J1813" t="inlineStr">
        <is>
          <t>Done</t>
        </is>
      </c>
      <c r="K1813"/>
      <c r="L1813" s="3" t="str">
        <f>=HYPERLINK("https://ev.iphonemod.net/mark-cuban-want-to-sell-his-tesla-because-turn-signal-button/", "https://ev.iphonemod.net/mark-cuban-want-to-sell-his-tesla-because-turn-signal-button/")</f>
        <v>https://ev.iphonemod.net/mark-cuban-want-to-sell-his-tesla-because-turn-signal-button/</v>
      </c>
      <c r="M1813" t="inlineStr">
        <is>
          <t>1</t>
        </is>
      </c>
      <c r="N1813" t="inlineStr">
        <is>
          <t>EV</t>
        </is>
      </c>
      <c r="O1813"/>
    </row>
    <row r="1814" ht="12.75" customHeight="1">
      <c r="A1814" t="inlineStr">
        <is>
          <t>CATL รุกตลาดแชสซี Skateboard เตรียมนำไปใช้กับรถยนต์ไฟฟ้าอย่างแพร่หลาย</t>
        </is>
      </c>
      <c r="B1814" t="inlineStr">
        <is>
          <t>Sakura</t>
        </is>
      </c>
      <c r="C1814" s="2">
        <v>45805</v>
      </c>
      <c r="D1814" s="2">
        <v>45805</v>
      </c>
      <c r="E1814" t="inlineStr">
        <is>
          <t>ปกติ</t>
        </is>
      </c>
      <c r="F1814" s="3"/>
      <c r="G1814"/>
      <c r="H1814" t="inlineStr">
        <is>
          <t>Website</t>
        </is>
      </c>
      <c r="I1814" t="inlineStr">
        <is>
          <t>งานประจำวัน</t>
        </is>
      </c>
      <c r="J1814" t="inlineStr">
        <is>
          <t>Done</t>
        </is>
      </c>
      <c r="K1814"/>
      <c r="L1814" s="3" t="str">
        <f>=HYPERLINK("https://ev.iphonemod.net/catl-skateboard-aim-to-ev-industry/", "https://ev.iphonemod.net/catl-skateboard-aim-to-ev-industry/")</f>
        <v>https://ev.iphonemod.net/catl-skateboard-aim-to-ev-industry/</v>
      </c>
      <c r="M1814" t="inlineStr">
        <is>
          <t>1</t>
        </is>
      </c>
      <c r="N1814" t="inlineStr">
        <is>
          <t>EV</t>
        </is>
      </c>
      <c r="O1814"/>
    </row>
    <row r="1815" ht="12.75" customHeight="1">
      <c r="A1815" t="inlineStr">
        <is>
          <t>รถ Deepal จาก Changan ยิงโฆษณาผ่านหน้าจอรถ ทำเจ้าของรถไม่พอใจ นี่มัน “Black Mirror” ในชีวิตจริง</t>
        </is>
      </c>
      <c r="B1815" t="inlineStr">
        <is>
          <t>Nuttanon</t>
        </is>
      </c>
      <c r="C1815" s="2">
        <v>45805</v>
      </c>
      <c r="D1815" s="2">
        <v>45805</v>
      </c>
      <c r="E1815" t="inlineStr">
        <is>
          <t>ปกติ</t>
        </is>
      </c>
      <c r="F1815" s="3"/>
      <c r="G1815"/>
      <c r="H1815" t="inlineStr">
        <is>
          <t>Website</t>
        </is>
      </c>
      <c r="I1815" t="inlineStr">
        <is>
          <t>งานประจำวัน</t>
        </is>
      </c>
      <c r="J1815" t="inlineStr">
        <is>
          <t>Done</t>
        </is>
      </c>
      <c r="K1815"/>
      <c r="L1815" s="3" t="str">
        <f>=HYPERLINK("https://ev.iphonemod.net/deepal-changan-real-life-black-mirror/", "https://ev.iphonemod.net/deepal-changan-real-life-black-mirror/")</f>
        <v>https://ev.iphonemod.net/deepal-changan-real-life-black-mirror/</v>
      </c>
      <c r="M1815" t="inlineStr">
        <is>
          <t>1</t>
        </is>
      </c>
      <c r="N1815" t="inlineStr">
        <is>
          <t>EV</t>
        </is>
      </c>
      <c r="O1815"/>
    </row>
    <row r="1816" ht="12.75" customHeight="1">
      <c r="A1816" t="inlineStr">
        <is>
          <t>มือถือ Android ที่ใช้ชิปโมเด็ม Qualcomm มีความเร็ว 5G สูงกว่า iPhone 16e</t>
        </is>
      </c>
      <c r="B1816" t="inlineStr">
        <is>
          <t>Thitirath Kinaret</t>
        </is>
      </c>
      <c r="C1816" s="2">
        <v>45805</v>
      </c>
      <c r="D1816" s="2">
        <v>45805</v>
      </c>
      <c r="E1816" t="inlineStr">
        <is>
          <t>ปกติ</t>
        </is>
      </c>
      <c r="F1816" s="3" t="str">
        <f>=HYPERLINK("https://www.iphonemod.net/android-phones-with-qualcomm-modem-top-iphone-16e-5g-tests-report.html", "https://www.iphonemod.net/android-phones-with-qualcomm-modem-top-iphone-16e-5g-tests-report.html")</f>
        <v>https://www.iphonemod.net/android-phones-with-qualcomm-modem-top-iphone-16e-5g-tests-report.html</v>
      </c>
      <c r="G1816"/>
      <c r="H1816" t="inlineStr">
        <is>
          <t>Pic Posts / Album, Website</t>
        </is>
      </c>
      <c r="I1816" t="inlineStr">
        <is>
          <t>งานประจำวัน</t>
        </is>
      </c>
      <c r="J1816" t="inlineStr">
        <is>
          <t>Done</t>
        </is>
      </c>
      <c r="K1816"/>
      <c r="L1816" s="3" t="str">
        <f>=HYPERLINK("http://05/28/2025", "05/28/2025")</f>
        <v>05/28/2025</v>
      </c>
      <c r="M1816" t="inlineStr">
        <is>
          <t>1</t>
        </is>
      </c>
      <c r="N1816" t="inlineStr">
        <is>
          <t>Apple</t>
        </is>
      </c>
      <c r="O1816"/>
    </row>
    <row r="1817" ht="12.75" customHeight="1">
      <c r="A1817" t="inlineStr">
        <is>
          <t>Samsung เตรียมปล่อย One UI 8 เวอร์ชันทดสอบเร็ว ๆ นี้</t>
        </is>
      </c>
      <c r="B1817" t="inlineStr">
        <is>
          <t>Saktaphat Kordjan</t>
        </is>
      </c>
      <c r="C1817" s="2">
        <v>45805</v>
      </c>
      <c r="D1817" s="2">
        <v>45805</v>
      </c>
      <c r="E1817" t="inlineStr">
        <is>
          <t>ปกติ</t>
        </is>
      </c>
      <c r="F1817" s="3" t="str">
        <f>=HYPERLINK("https://www.sammobile.com/news/one-ui-8-beta-program-eligible-galaxy-phones-tablets/", "https://www.sammobile.com/news/one-ui-8-beta-program-eligible-galaxy-phones-tablets/")</f>
        <v>https://www.sammobile.com/news/one-ui-8-beta-program-eligible-galaxy-phones-tablets/</v>
      </c>
      <c r="G1817"/>
      <c r="H1817" t="inlineStr">
        <is>
          <t>Website</t>
        </is>
      </c>
      <c r="I1817" t="inlineStr">
        <is>
          <t>งานประจำวัน</t>
        </is>
      </c>
      <c r="J1817" t="inlineStr">
        <is>
          <t>Done</t>
        </is>
      </c>
      <c r="K1817"/>
      <c r="L1817" s="3"/>
      <c r="M1817" t="inlineStr">
        <is>
          <t>1</t>
        </is>
      </c>
      <c r="N1817" t="inlineStr">
        <is>
          <t>Android</t>
        </is>
      </c>
      <c r="O1817"/>
    </row>
    <row r="1818" ht="12.75" customHeight="1">
      <c r="A1818" t="inlineStr">
        <is>
          <t>สรุปข่าวไอที 28 พ.ค. 2568</t>
        </is>
      </c>
      <c r="B1818" t="inlineStr">
        <is>
          <t>Saktaphat Kordjan</t>
        </is>
      </c>
      <c r="C1818" s="2">
        <v>45805</v>
      </c>
      <c r="D1818" s="2">
        <v>45805</v>
      </c>
      <c r="E1818" t="inlineStr">
        <is>
          <t>ปกติ</t>
        </is>
      </c>
      <c r="F1818" s="3"/>
      <c r="G1818"/>
      <c r="H1818" t="inlineStr">
        <is>
          <t>YouTube</t>
        </is>
      </c>
      <c r="I1818" t="inlineStr">
        <is>
          <t>งานประจำวัน</t>
        </is>
      </c>
      <c r="J1818" t="inlineStr">
        <is>
          <t>Done</t>
        </is>
      </c>
      <c r="K1818"/>
      <c r="L1818" s="3"/>
      <c r="M1818" t="inlineStr">
        <is>
          <t>1</t>
        </is>
      </c>
      <c r="N1818" t="inlineStr">
        <is>
          <t>Android, Tech</t>
        </is>
      </c>
      <c r="O1818"/>
    </row>
    <row r="1819" ht="12.75" customHeight="1">
      <c r="A1819" t="inlineStr">
        <is>
          <t>ประธาน Geely ย้ำจุดยืนของบริษัทที่ยังไม่ทิ้งรถยนต์สันดาป (ICE) พร้อมพัฒนาด้านเทคโนโลยีและคุณภาพ</t>
        </is>
      </c>
      <c r="B1819" t="inlineStr">
        <is>
          <t>Sakura</t>
        </is>
      </c>
      <c r="C1819" s="2">
        <v>45805</v>
      </c>
      <c r="D1819" s="2">
        <v>45805</v>
      </c>
      <c r="E1819" t="inlineStr">
        <is>
          <t>ปกติ</t>
        </is>
      </c>
      <c r="F1819" s="3"/>
      <c r="G1819"/>
      <c r="H1819" t="inlineStr">
        <is>
          <t>Website</t>
        </is>
      </c>
      <c r="I1819" t="inlineStr">
        <is>
          <t>งานประจำวัน</t>
        </is>
      </c>
      <c r="J1819" t="inlineStr">
        <is>
          <t>Done</t>
        </is>
      </c>
      <c r="K1819"/>
      <c r="L1819" s="3" t="str">
        <f>=HYPERLINK("https://ev.iphonemod.net/geely-share-not-give-up-ice/", "https://ev.iphonemod.net/geely-share-not-give-up-ice/")</f>
        <v>https://ev.iphonemod.net/geely-share-not-give-up-ice/</v>
      </c>
      <c r="M1819" t="inlineStr">
        <is>
          <t>1</t>
        </is>
      </c>
      <c r="N1819" t="inlineStr">
        <is>
          <t>EV</t>
        </is>
      </c>
      <c r="O1819"/>
    </row>
    <row r="1820" ht="12.75" customHeight="1">
      <c r="A1820" t="inlineStr">
        <is>
          <t>XPENG เปิดตัว MONA M03 Max รถยนต์อัจฉริยะขับเคลื่อนด้วย AI หนึ่งเดียวของโลก ในราคาเริ่มต้นราว 7 แสนบาท</t>
        </is>
      </c>
      <c r="B1820" t="inlineStr">
        <is>
          <t>Sakura</t>
        </is>
      </c>
      <c r="C1820" s="2">
        <v>45805</v>
      </c>
      <c r="D1820" s="2">
        <v>45805</v>
      </c>
      <c r="E1820" t="inlineStr">
        <is>
          <t>ด่วน!</t>
        </is>
      </c>
      <c r="F1820" s="3" t="str">
        <f>=HYPERLINK("https://www.facebook.com/iPhonemod/posts/pfbid0s1KLDmLm512QjCBeo3uo4mMK6aRwSH2nRWqkw69zGmqbEmn93fTQbeg2JThvw8Nul", "https://www.facebook.com/iPhonemod/posts/pfbid0s1KLDmLm512QjCBeo3uo4mMK6aRwSH2nRWqkw69zGmqbEmn93fTQbeg2JThvw8Nul")</f>
        <v>https://www.facebook.com/iPhonemod/posts/pfbid0s1KLDmLm512QjCBeo3uo4mMK6aRwSH2nRWqkw69zGmqbEmn93fTQbeg2JThvw8Nul</v>
      </c>
      <c r="G1820"/>
      <c r="H1820" t="inlineStr">
        <is>
          <t>Website, Pic Posts / Album</t>
        </is>
      </c>
      <c r="I1820" t="inlineStr">
        <is>
          <t>งานประจำวัน</t>
        </is>
      </c>
      <c r="J1820" t="inlineStr">
        <is>
          <t>Done</t>
        </is>
      </c>
      <c r="K1820"/>
      <c r="L1820" s="3" t="str">
        <f>=HYPERLINK("https://ev.iphonemod.net/xpeng-official-launched-mona-m03-max/", "https://ev.iphonemod.net/xpeng-official-launched-mona-m03-max/")</f>
        <v>https://ev.iphonemod.net/xpeng-official-launched-mona-m03-max/</v>
      </c>
      <c r="M1820" t="inlineStr">
        <is>
          <t>1</t>
        </is>
      </c>
      <c r="N1820" t="inlineStr">
        <is>
          <t>EV, PR</t>
        </is>
      </c>
      <c r="O1820"/>
    </row>
    <row r="1821" ht="12.75" customHeight="1">
      <c r="A1821" t="inlineStr">
        <is>
          <t>ภาพหลุด! รถกระบะ BYD ใหม่ในจีน พื้นฐานเดียวกับ Shark 6 (รุ่นใหม่หรือ Shark 6 ปรับโฉมที่จีน?)</t>
        </is>
      </c>
      <c r="B1821" t="inlineStr">
        <is>
          <t>Nuttanon</t>
        </is>
      </c>
      <c r="C1821" s="2">
        <v>45805</v>
      </c>
      <c r="D1821" s="2">
        <v>45805</v>
      </c>
      <c r="E1821" t="inlineStr">
        <is>
          <t>ปกติ</t>
        </is>
      </c>
      <c r="F1821" s="3"/>
      <c r="G1821"/>
      <c r="H1821" t="inlineStr">
        <is>
          <t>Website</t>
        </is>
      </c>
      <c r="I1821" t="inlineStr">
        <is>
          <t>งานประจำวัน</t>
        </is>
      </c>
      <c r="J1821" t="inlineStr">
        <is>
          <t>Done</t>
        </is>
      </c>
      <c r="K1821"/>
      <c r="L1821" s="3" t="str">
        <f>=HYPERLINK("https://ev.iphonemod.net/byd-shark-6-minorchange-in-china/", "https://ev.iphonemod.net/byd-shark-6-minorchange-in-china/")</f>
        <v>https://ev.iphonemod.net/byd-shark-6-minorchange-in-china/</v>
      </c>
      <c r="M1821" t="inlineStr">
        <is>
          <t>1</t>
        </is>
      </c>
      <c r="N1821" t="inlineStr">
        <is>
          <t>EV</t>
        </is>
      </c>
      <c r="O1821"/>
    </row>
    <row r="1822" ht="12.75" customHeight="1">
      <c r="A1822" t="inlineStr">
        <is>
          <t>เปิดตัว Alpine A390 รถ SUV ไฟฟ้า 470 แรงม้า พร้อมระบบ Torque Vectoring</t>
        </is>
      </c>
      <c r="B1822" t="inlineStr">
        <is>
          <t>Nuttanon</t>
        </is>
      </c>
      <c r="C1822" s="2">
        <v>45805</v>
      </c>
      <c r="D1822" s="2">
        <v>45805</v>
      </c>
      <c r="E1822" t="inlineStr">
        <is>
          <t>ปกติ</t>
        </is>
      </c>
      <c r="F1822" s="3"/>
      <c r="G1822"/>
      <c r="H1822" t="inlineStr">
        <is>
          <t>Website</t>
        </is>
      </c>
      <c r="I1822" t="inlineStr">
        <is>
          <t>งานประจำวัน</t>
        </is>
      </c>
      <c r="J1822" t="inlineStr">
        <is>
          <t>Done</t>
        </is>
      </c>
      <c r="K1822"/>
      <c r="L1822" s="3" t="str">
        <f>=HYPERLINK("https://ev.iphonemod.net/alpine-a390-suv-ev-launched/", "https://ev.iphonemod.net/alpine-a390-suv-ev-launched/")</f>
        <v>https://ev.iphonemod.net/alpine-a390-suv-ev-launched/</v>
      </c>
      <c r="M1822" t="inlineStr">
        <is>
          <t>1</t>
        </is>
      </c>
      <c r="N1822" t="inlineStr">
        <is>
          <t>EV</t>
        </is>
      </c>
      <c r="O1822"/>
    </row>
    <row r="1823" ht="12.75" customHeight="1">
      <c r="A1823" t="inlineStr">
        <is>
          <t>เจ้าของรถ Deepal ที่จีนโดนยิงโฆษณาผ่านจอกลางบนรถบังคับดู 5 วิ ตอนสตาร์ท โดนกว่า 480,000 คัน</t>
        </is>
      </c>
      <c r="B1823" t="inlineStr">
        <is>
          <t>Nuttanon</t>
        </is>
      </c>
      <c r="C1823" s="2">
        <v>45805</v>
      </c>
      <c r="D1823" s="2">
        <v>45805</v>
      </c>
      <c r="E1823" t="inlineStr">
        <is>
          <t>ปกติ</t>
        </is>
      </c>
      <c r="F1823" s="3" t="str">
        <f>=HYPERLINK("https://www.facebook.com/reel/9683753821735295", "https://www.facebook.com/reel/9683753821735295")</f>
        <v>https://www.facebook.com/reel/9683753821735295</v>
      </c>
      <c r="G1823"/>
      <c r="H1823" t="inlineStr">
        <is>
          <t>Shorts</t>
        </is>
      </c>
      <c r="I1823" t="inlineStr">
        <is>
          <t>งานประจำวัน</t>
        </is>
      </c>
      <c r="J1823" t="inlineStr">
        <is>
          <t>Done</t>
        </is>
      </c>
      <c r="K1823"/>
      <c r="L1823" s="3" t="str">
        <f>=HYPERLINK("https://www.facebook.com/reel/9683753821735295", "https://www.facebook.com/reel/9683753821735295")</f>
        <v>https://www.facebook.com/reel/9683753821735295</v>
      </c>
      <c r="M1823" t="inlineStr">
        <is>
          <t>1</t>
        </is>
      </c>
      <c r="N1823" t="inlineStr">
        <is>
          <t>EV</t>
        </is>
      </c>
      <c r="O1823"/>
    </row>
    <row r="1824" ht="12.75" customHeight="1">
      <c r="A1824" t="inlineStr">
        <is>
          <t>ระบบขับอัตโนมัติ FSD ของ Tesla พาพุ่งลงข้างทางชนต้นไม้จนพลิกคว่ำ</t>
        </is>
      </c>
      <c r="B1824" t="inlineStr">
        <is>
          <t>Nuttanon</t>
        </is>
      </c>
      <c r="C1824" s="2">
        <v>45805</v>
      </c>
      <c r="D1824" s="2">
        <v>45805</v>
      </c>
      <c r="E1824" t="inlineStr">
        <is>
          <t>ปกติ</t>
        </is>
      </c>
      <c r="F1824" s="3" t="str">
        <f>=HYPERLINK("https://www.facebook.com/reel/1074604444528718", "https://www.facebook.com/reel/1074604444528718")</f>
        <v>https://www.facebook.com/reel/1074604444528718</v>
      </c>
      <c r="G1824"/>
      <c r="H1824" t="inlineStr">
        <is>
          <t>Shorts</t>
        </is>
      </c>
      <c r="I1824" t="inlineStr">
        <is>
          <t>งานประจำวัน</t>
        </is>
      </c>
      <c r="J1824" t="inlineStr">
        <is>
          <t>Done</t>
        </is>
      </c>
      <c r="K1824"/>
      <c r="L1824" s="3" t="str">
        <f>=HYPERLINK("https://www.facebook.com/reel/1074604444528718", "https://www.facebook.com/reel/1074604444528718")</f>
        <v>https://www.facebook.com/reel/1074604444528718</v>
      </c>
      <c r="M1824" t="inlineStr">
        <is>
          <t>1</t>
        </is>
      </c>
      <c r="N1824" t="inlineStr">
        <is>
          <t>EV</t>
        </is>
      </c>
      <c r="O1824"/>
    </row>
    <row r="1825" ht="12.75" customHeight="1">
      <c r="A1825" t="inlineStr">
        <is>
          <t>Google, บริษัท AI เตรียมถูกฟ้อง หลังเป็นเหตุให้เด็กจบชีวิตตัวเอง</t>
        </is>
      </c>
      <c r="B1825" t="inlineStr">
        <is>
          <t>Thitirath Kinaret</t>
        </is>
      </c>
      <c r="C1825" s="2">
        <v>45804</v>
      </c>
      <c r="D1825" s="2"/>
      <c r="E1825" t="inlineStr">
        <is>
          <t>ปกติ</t>
        </is>
      </c>
      <c r="F1825" s="3" t="str">
        <f>=HYPERLINK("https://www.reuters.com/sustainability/boards-policy-regulation/google-ai-firm-must-face-lawsuit-filed-by-mother-over-suicide-son-us-court-says-2025-05-21/", "https://www.reuters.com/sustainability/boards-policy-regulation/google-ai-firm-must-face-lawsuit-filed-by-mother-over-suicide-son-us-court-says-2025-05-21/")</f>
        <v>https://www.reuters.com/sustainability/boards-policy-regulation/google-ai-firm-must-face-lawsuit-filed-by-mother-over-suicide-son-us-court-says-2025-05-21/</v>
      </c>
      <c r="G1825"/>
      <c r="H1825" t="inlineStr">
        <is>
          <t>Website, Pic Posts / Album</t>
        </is>
      </c>
      <c r="I1825" t="inlineStr">
        <is>
          <t>งานประจำวัน</t>
        </is>
      </c>
      <c r="J1825" t="inlineStr">
        <is>
          <t>Done</t>
        </is>
      </c>
      <c r="K1825"/>
      <c r="L1825" s="3" t="str">
        <f>=HYPERLINK("https://www.iphonemod.net/google-and-air-firm-face-lawsuit-suicide-of-14y-son-us-court-report.html", "https://www.iphonemod.net/google-and-air-firm-face-lawsuit-suicide-of-14y-son-us-court-report.html")</f>
        <v>https://www.iphonemod.net/google-and-air-firm-face-lawsuit-suicide-of-14y-son-us-court-report.html</v>
      </c>
      <c r="M1825" t="inlineStr">
        <is>
          <t>1</t>
        </is>
      </c>
      <c r="N1825" t="inlineStr">
        <is>
          <t>ทั่วไป</t>
        </is>
      </c>
      <c r="O1825"/>
    </row>
    <row r="1826" ht="12.75" customHeight="1">
      <c r="A1826" t="inlineStr">
        <is>
          <t>คลิปสั้น Mitsubishi Mud Mode</t>
        </is>
      </c>
      <c r="B1826" t="inlineStr">
        <is>
          <t>Sakura</t>
        </is>
      </c>
      <c r="C1826" s="2">
        <v>45804</v>
      </c>
      <c r="D1826" s="2">
        <v>45804</v>
      </c>
      <c r="E1826" t="inlineStr">
        <is>
          <t>ปกติ</t>
        </is>
      </c>
      <c r="F1826" s="3"/>
      <c r="G1826"/>
      <c r="H1826" t="inlineStr">
        <is>
          <t>Shorts</t>
        </is>
      </c>
      <c r="I1826" t="inlineStr">
        <is>
          <t>งานประจำวัน</t>
        </is>
      </c>
      <c r="J1826" t="inlineStr">
        <is>
          <t>Done</t>
        </is>
      </c>
      <c r="K1826"/>
      <c r="L1826" s="3"/>
      <c r="M1826" t="inlineStr">
        <is>
          <t>1</t>
        </is>
      </c>
      <c r="N1826" t="inlineStr">
        <is>
          <t>EV</t>
        </is>
      </c>
      <c r="O1826"/>
    </row>
    <row r="1827" ht="12.75" customHeight="1">
      <c r="A1827" t="inlineStr">
        <is>
          <t>นักวิเคราะห์เผย Apple ยอมเสียภาษี 25% คุ้มกว่าตั้งโรงงานในสหรัฐฯ</t>
        </is>
      </c>
      <c r="B1827" t="inlineStr">
        <is>
          <t>Thitirath Kinaret</t>
        </is>
      </c>
      <c r="C1827" s="2">
        <v>45804</v>
      </c>
      <c r="D1827" s="2">
        <v>45804</v>
      </c>
      <c r="E1827" t="inlineStr">
        <is>
          <t>ปกติ</t>
        </is>
      </c>
      <c r="F1827" s="3" t="str">
        <f>=HYPERLINK("https://www.macrumors.com/2025/05/23/apple-better-off-taking-tariff-hit/", "https://www.macrumors.com/2025/05/23/apple-better-off-taking-tariff-hit/")</f>
        <v>https://www.macrumors.com/2025/05/23/apple-better-off-taking-tariff-hit/</v>
      </c>
      <c r="G1827"/>
      <c r="H1827" t="inlineStr">
        <is>
          <t>Website, Pic Posts / Album</t>
        </is>
      </c>
      <c r="I1827" t="inlineStr">
        <is>
          <t>งานประจำวัน</t>
        </is>
      </c>
      <c r="J1827" t="inlineStr">
        <is>
          <t>Done</t>
        </is>
      </c>
      <c r="K1827"/>
      <c r="L1827" s="3" t="str">
        <f>=HYPERLINK("https://www.iphonemod.net/kuo-said-apple-better-off-taking-25-percent-tariff-apple-move-iphone-production-to-usa.html", "https://www.iphonemod.net/kuo-said-apple-better-off-taking-25-percent-tariff-apple-move-iphone-production-to-usa.html")</f>
        <v>https://www.iphonemod.net/kuo-said-apple-better-off-taking-25-percent-tariff-apple-move-iphone-production-to-usa.html</v>
      </c>
      <c r="M1827" t="inlineStr">
        <is>
          <t>1</t>
        </is>
      </c>
      <c r="N1827" t="inlineStr">
        <is>
          <t>Apple</t>
        </is>
      </c>
      <c r="O1827"/>
    </row>
    <row r="1828" ht="12.75" customHeight="1">
      <c r="A1828" t="inlineStr">
        <is>
          <t>Google เตรียมโดนฟ้องเหตุเด็กจบชีวิต เพราะเด็กคุยกับ Chatbot</t>
        </is>
      </c>
      <c r="B1828" t="inlineStr">
        <is>
          <t>Sasithakan Sritonthip,Nattida Suriyodara</t>
        </is>
      </c>
      <c r="C1828" s="2">
        <v>45804</v>
      </c>
      <c r="D1828" s="2"/>
      <c r="E1828" t="inlineStr">
        <is>
          <t>ด่วน!</t>
        </is>
      </c>
      <c r="F1828" s="3" t="str">
        <f>=HYPERLINK("https://www.iphonemod.net/google-and-air-firm-face-lawsuit-suicide-of-14y-son-us-court-report.html", "https://www.iphonemod.net/google-and-air-firm-face-lawsuit-suicide-of-14y-son-us-court-report.html")</f>
        <v>https://www.iphonemod.net/google-and-air-firm-face-lawsuit-suicide-of-14y-son-us-court-report.html</v>
      </c>
      <c r="G1828"/>
      <c r="H1828" t="inlineStr">
        <is>
          <t>Shorts</t>
        </is>
      </c>
      <c r="I1828" t="inlineStr">
        <is>
          <t>งานประจำวัน</t>
        </is>
      </c>
      <c r="J1828" t="inlineStr">
        <is>
          <t>Done</t>
        </is>
      </c>
      <c r="K1828"/>
      <c r="L1828" s="3" t="str">
        <f>=HYPERLINK("https://vt.tiktok.com/ZShoAJSsY/", "TikTok · iMoD")</f>
        <v>TikTok · iMoD</v>
      </c>
      <c r="M1828" t="inlineStr">
        <is>
          <t>1</t>
        </is>
      </c>
      <c r="N1828" t="inlineStr">
        <is>
          <t>AI</t>
        </is>
      </c>
      <c r="O1828"/>
    </row>
    <row r="1829" ht="12.75" customHeight="1">
      <c r="A1829" t="inlineStr">
        <is>
          <t>How to create slide by GAMMA AI</t>
        </is>
      </c>
      <c r="B1829" t="inlineStr">
        <is>
          <t>Nattida Suriyodara</t>
        </is>
      </c>
      <c r="C1829" s="2">
        <v>45804</v>
      </c>
      <c r="D1829" s="2"/>
      <c r="E1829" t="inlineStr">
        <is>
          <t>ปกติ</t>
        </is>
      </c>
      <c r="F1829" s="3" t="str">
        <f>=HYPERLINK("https://gamma.app", "https://gamma.app")</f>
        <v>https://gamma.app</v>
      </c>
      <c r="G1829"/>
      <c r="H1829" t="inlineStr">
        <is>
          <t>Website</t>
        </is>
      </c>
      <c r="I1829" t="inlineStr">
        <is>
          <t>งานประจำวัน</t>
        </is>
      </c>
      <c r="J1829" t="inlineStr">
        <is>
          <t>Done</t>
        </is>
      </c>
      <c r="K1829"/>
      <c r="L1829" s="3" t="str">
        <f>=HYPERLINK("https://www.iphonemod.net/how-to-create-slide-by-gammma-website.html", "https://www.iphonemod.net/how-to-create-slide-by-gammma-website.html")</f>
        <v>https://www.iphonemod.net/how-to-create-slide-by-gammma-website.html</v>
      </c>
      <c r="M1829" t="inlineStr">
        <is>
          <t>1</t>
        </is>
      </c>
      <c r="N1829" t="inlineStr">
        <is>
          <t>AI</t>
        </is>
      </c>
      <c r="O1829"/>
    </row>
    <row r="1830" ht="12.75" customHeight="1">
      <c r="A1830" t="inlineStr">
        <is>
          <t>ชุดภาพวิธีใช้ Gamma ในการสร้าง Presentation แบบง่าย</t>
        </is>
      </c>
      <c r="B1830" t="inlineStr">
        <is>
          <t>Thitirath Kinaret</t>
        </is>
      </c>
      <c r="C1830" s="2">
        <v>45804</v>
      </c>
      <c r="D1830" s="2"/>
      <c r="E1830" t="inlineStr">
        <is>
          <t>ปกติ</t>
        </is>
      </c>
      <c r="F1830" s="3"/>
      <c r="G1830"/>
      <c r="H1830" t="inlineStr">
        <is>
          <t>Pic Posts / Album</t>
        </is>
      </c>
      <c r="I1830" t="inlineStr">
        <is>
          <t>งานประจำวัน</t>
        </is>
      </c>
      <c r="J1830" t="inlineStr">
        <is>
          <t>Done</t>
        </is>
      </c>
      <c r="K1830"/>
      <c r="L1830" s="3" t="str">
        <f>=HYPERLINK("https://www.facebook.com/iPhonemod/posts/pfbid0S2ryDK1gRUkzrrYEWaZ59dRzPL2uyNFGps3mTYpKGHWU4Z7JZPpgfTop383BXzYUl", "https://www.facebook.com/iPhonemod/posts/pfbid0S2ryDK1gRUkzrrYEWaZ59dRzPL2uyNFGps3mTYpKGHWU4Z7JZPpgfTop383BXzYUl")</f>
        <v>https://www.facebook.com/iPhonemod/posts/pfbid0S2ryDK1gRUkzrrYEWaZ59dRzPL2uyNFGps3mTYpKGHWU4Z7JZPpgfTop383BXzYUl</v>
      </c>
      <c r="M1830" t="inlineStr">
        <is>
          <t>1</t>
        </is>
      </c>
      <c r="N1830" t="inlineStr">
        <is>
          <t>AI</t>
        </is>
      </c>
      <c r="O1830"/>
    </row>
    <row r="1831" ht="12.75" customHeight="1">
      <c r="A1831" t="inlineStr">
        <is>
          <t>Xiaomi เปิดตัว Pad 7 Ultra ชิป XRING O1</t>
        </is>
      </c>
      <c r="B1831" t="inlineStr">
        <is>
          <t>Saktaphat Kordjan,Sasithakan Sritonthip</t>
        </is>
      </c>
      <c r="C1831" s="2">
        <v>45804</v>
      </c>
      <c r="D1831" s="2"/>
      <c r="E1831" t="inlineStr">
        <is>
          <t>ปกติ</t>
        </is>
      </c>
      <c r="F1831" s="3" t="str">
        <f>=HYPERLINK("https://www.mi.com/prod/xiaomi-pad-7-ultra?spmref=MiShop_PC.mihomepage.mtl_682f1ed89bd1160001869842.1", "https://www.mi.com/prod/xiaomi-pad-7-ultra?spmref=MiShop_PC.mihomepage.mtl_682f1ed89bd1160001869842.1")</f>
        <v>https://www.mi.com/prod/xiaomi-pad-7-ultra?spmref=MiShop_PC.mihomepage.mtl_682f1ed89bd1160001869842.1</v>
      </c>
      <c r="G1831"/>
      <c r="H1831" t="inlineStr">
        <is>
          <t>Website, Shorts</t>
        </is>
      </c>
      <c r="I1831" t="inlineStr">
        <is>
          <t>งานประจำวัน</t>
        </is>
      </c>
      <c r="J1831" t="inlineStr">
        <is>
          <t>Done</t>
        </is>
      </c>
      <c r="K1831"/>
      <c r="L1831" s="3"/>
      <c r="M1831" t="inlineStr">
        <is>
          <t>1</t>
        </is>
      </c>
      <c r="N1831" t="inlineStr">
        <is>
          <t>Android</t>
        </is>
      </c>
      <c r="O1831"/>
    </row>
    <row r="1832" ht="12.75" customHeight="1">
      <c r="A1832" t="inlineStr">
        <is>
          <t>โหมดโจ (Joe Mode) ในรถยนต์ Tesla คืออะไร และทำไมต้องชื่อ Joe</t>
        </is>
      </c>
      <c r="B1832" t="inlineStr">
        <is>
          <t>Sakura</t>
        </is>
      </c>
      <c r="C1832" s="2">
        <v>45804</v>
      </c>
      <c r="D1832" s="2">
        <v>45804</v>
      </c>
      <c r="E1832" t="inlineStr">
        <is>
          <t>ปกติ</t>
        </is>
      </c>
      <c r="F1832" s="3" t="str">
        <f>=HYPERLINK("https://www.notateslaapp.com/news/2736/what-is-teslas-joe-mode-what-it-does-how-to-enable-it-future-features", "https://www.notateslaapp.com/news/2736/what-is-teslas-joe-mode-what-it-does-how-to-enable-it-future-features")</f>
        <v>https://www.notateslaapp.com/news/2736/what-is-teslas-joe-mode-what-it-does-how-to-enable-it-future-features</v>
      </c>
      <c r="G1832"/>
      <c r="H1832" t="inlineStr">
        <is>
          <t>Website</t>
        </is>
      </c>
      <c r="I1832" t="inlineStr">
        <is>
          <t>งานประจำวัน</t>
        </is>
      </c>
      <c r="J1832" t="inlineStr">
        <is>
          <t>Done</t>
        </is>
      </c>
      <c r="K1832"/>
      <c r="L1832" s="3" t="str">
        <f>=HYPERLINK("https://ev.iphonemod.net/what-is-tesla-joe-mode/", "https://ev.iphonemod.net/what-is-tesla-joe-mode/")</f>
        <v>https://ev.iphonemod.net/what-is-tesla-joe-mode/</v>
      </c>
      <c r="M1832" t="inlineStr">
        <is>
          <t>1</t>
        </is>
      </c>
      <c r="N1832" t="inlineStr">
        <is>
          <t>EV</t>
        </is>
      </c>
      <c r="O1832"/>
    </row>
    <row r="1833" ht="12.75" customHeight="1">
      <c r="A1833" t="inlineStr">
        <is>
          <t>พบ Tesla Model S และ Model X โฉมใหม่ มาพร้อมกระจังหน้าดีไซน์ใหม่ ไฟ Ambient light และมีกล้องกันชนหน้า</t>
        </is>
      </c>
      <c r="B1833" t="inlineStr">
        <is>
          <t>Sakura</t>
        </is>
      </c>
      <c r="C1833" s="2">
        <v>45804</v>
      </c>
      <c r="D1833" s="2">
        <v>45804</v>
      </c>
      <c r="E1833" t="inlineStr">
        <is>
          <t>ปกติ</t>
        </is>
      </c>
      <c r="F1833" s="3" t="str">
        <f>=HYPERLINK("https://www.notateslaapp.com/news/2747/teslas-new-model-s-and-model-x-spotted-new-color-grill-ambient-lighting-and-front-bumper-camera", "https://www.notateslaapp.com/news/2747/teslas-new-model-s-and-model-x-spotted-new-color-grill-ambient-lighting-and-front-bumper-camera")</f>
        <v>https://www.notateslaapp.com/news/2747/teslas-new-model-s-and-model-x-spotted-new-color-grill-ambient-lighting-and-front-bumper-camera</v>
      </c>
      <c r="G1833"/>
      <c r="H1833" t="inlineStr">
        <is>
          <t>Website</t>
        </is>
      </c>
      <c r="I1833" t="inlineStr">
        <is>
          <t>งานประจำวัน</t>
        </is>
      </c>
      <c r="J1833" t="inlineStr">
        <is>
          <t>Done</t>
        </is>
      </c>
      <c r="K1833"/>
      <c r="L1833" s="3" t="str">
        <f>=HYPERLINK("https://ev.iphonemod.net/tesla-model-s-model-x-refreshed-new-spy-shot", "https://ev.iphonemod.net/tesla-model-s-model-x-refreshed-new-spy-shot")</f>
        <v>https://ev.iphonemod.net/tesla-model-s-model-x-refreshed-new-spy-shot</v>
      </c>
      <c r="M1833" t="inlineStr">
        <is>
          <t>1</t>
        </is>
      </c>
      <c r="N1833" t="inlineStr">
        <is>
          <t>EV</t>
        </is>
      </c>
      <c r="O1833"/>
    </row>
    <row r="1834" ht="12.75" customHeight="1">
      <c r="A1834" t="inlineStr">
        <is>
          <t>เผยโฉม Denza N8L PHEV พรีเมียม SUV ขนาดใหญ่ พร้อมตัวเลือกเสริมติดตั้งโดรนอัจฉริยะ</t>
        </is>
      </c>
      <c r="B1834" t="inlineStr">
        <is>
          <t>Sakura</t>
        </is>
      </c>
      <c r="C1834" s="2">
        <v>45804</v>
      </c>
      <c r="D1834" s="2">
        <v>45804</v>
      </c>
      <c r="E1834" t="inlineStr">
        <is>
          <t>ปกติ</t>
        </is>
      </c>
      <c r="F1834" s="3" t="str">
        <f>=HYPERLINK("https://carnewschina.com/2025/05/26/denza-unveils-premium-phev-suv-n8l-with-optional-drone-version/", "https://carnewschina.com/2025/05/26/denza-unveils-premium-phev-suv-n8l-with-optional-drone-version/")</f>
        <v>https://carnewschina.com/2025/05/26/denza-unveils-premium-phev-suv-n8l-with-optional-drone-version/</v>
      </c>
      <c r="G1834"/>
      <c r="H1834" t="inlineStr">
        <is>
          <t>Website</t>
        </is>
      </c>
      <c r="I1834" t="inlineStr">
        <is>
          <t>งานประจำวัน</t>
        </is>
      </c>
      <c r="J1834" t="inlineStr">
        <is>
          <t>Done</t>
        </is>
      </c>
      <c r="K1834"/>
      <c r="L1834" s="3" t="str">
        <f>=HYPERLINK("https://ev.iphonemod.net/byd-debut-denza-n8l-phev-premium-suv/", "https://ev.iphonemod.net/byd-debut-denza-n8l-phev-premium-suv/")</f>
        <v>https://ev.iphonemod.net/byd-debut-denza-n8l-phev-premium-suv/</v>
      </c>
      <c r="M1834" t="inlineStr">
        <is>
          <t>1</t>
        </is>
      </c>
      <c r="N1834" t="inlineStr">
        <is>
          <t>EV</t>
        </is>
      </c>
      <c r="O1834"/>
    </row>
    <row r="1835" ht="12.75" customHeight="1">
      <c r="A1835" t="inlineStr">
        <is>
          <t>BYD ปรับราคา EV ครั้งใหญ่ จีนเข้าเฟสใหม่ของการแข่งขันสุดดุเดือด</t>
        </is>
      </c>
      <c r="B1835" t="inlineStr">
        <is>
          <t>Nuttanon,Sakura</t>
        </is>
      </c>
      <c r="C1835" s="2">
        <v>45804</v>
      </c>
      <c r="D1835" s="2">
        <v>45804</v>
      </c>
      <c r="E1835" t="inlineStr">
        <is>
          <t>ปกติ</t>
        </is>
      </c>
      <c r="F1835" s="3" t="str">
        <f>=HYPERLINK("https://electrek.co/2025/05/26/byd-starts-new-ev-price-war-china/", "https://electrek.co/2025/05/26/byd-starts-new-ev-price-war-china/")</f>
        <v>https://electrek.co/2025/05/26/byd-starts-new-ev-price-war-china/</v>
      </c>
      <c r="G1835"/>
      <c r="H1835" t="inlineStr">
        <is>
          <t>Website, Pic Posts / Album</t>
        </is>
      </c>
      <c r="I1835" t="inlineStr">
        <is>
          <t>งานประจำวัน</t>
        </is>
      </c>
      <c r="J1835" t="inlineStr">
        <is>
          <t>Done</t>
        </is>
      </c>
      <c r="K1835"/>
      <c r="L1835" s="3" t="str">
        <f>=HYPERLINK("https://ev.iphonemod.net/byd-new-phase-ev-price-in-china/", "https://ev.iphonemod.net/byd-new-phase-ev-price-in-china/")</f>
        <v>https://ev.iphonemod.net/byd-new-phase-ev-price-in-china/</v>
      </c>
      <c r="M1835" t="inlineStr">
        <is>
          <t>1</t>
        </is>
      </c>
      <c r="N1835" t="inlineStr">
        <is>
          <t>EV</t>
        </is>
      </c>
      <c r="O1835"/>
    </row>
    <row r="1836" ht="12.75" customHeight="1">
      <c r="A1836" t="inlineStr">
        <is>
          <t xml:space="preserve">Koenigsegg พัฒนามอเตอร์ EV 'DARK MATTER' แรงถึง 800 แรงม้า </t>
        </is>
      </c>
      <c r="B1836" t="inlineStr">
        <is>
          <t>Nuttanon</t>
        </is>
      </c>
      <c r="C1836" s="2">
        <v>45804</v>
      </c>
      <c r="D1836" s="2">
        <v>45804</v>
      </c>
      <c r="E1836" t="inlineStr">
        <is>
          <t>ปกติ</t>
        </is>
      </c>
      <c r="F1836" s="3"/>
      <c r="G1836"/>
      <c r="H1836" t="inlineStr">
        <is>
          <t>Shorts</t>
        </is>
      </c>
      <c r="I1836" t="inlineStr">
        <is>
          <t>งานประจำวัน</t>
        </is>
      </c>
      <c r="J1836" t="inlineStr">
        <is>
          <t>Done</t>
        </is>
      </c>
      <c r="K1836" t="inlineStr">
        <is>
          <t>Koenigsegg พัฒนามอเตอร์ EV 'DARK MATTER' แรงถึง 800 แรงม้า น้ำหนักเบาขนาดเท่าจานเบรคเตรียมแข่งกับมอเตอร์ Axial-Flux ของ Mercedes-Benz มอเตอร์นี้แรงกว่ามอเตอร์ของ Rimac และ Tesla นำไปใช้ครั้งแรกใน Koenigsegg Gemera</t>
        </is>
      </c>
      <c r="L1836" s="3" t="str">
        <f>=HYPERLINK("https://www.facebook.com/reel/712799488097724", "https://www.facebook.com/reel/712799488097724")</f>
        <v>https://www.facebook.com/reel/712799488097724</v>
      </c>
      <c r="M1836" t="inlineStr">
        <is>
          <t>1</t>
        </is>
      </c>
      <c r="N1836" t="inlineStr">
        <is>
          <t>EV</t>
        </is>
      </c>
      <c r="O1836"/>
    </row>
    <row r="1837" ht="12.75" customHeight="1">
      <c r="A1837" t="inlineStr">
        <is>
          <t>พบเบาะแส MacBook Pro ชิป M3 Ultra ใน iOS 18</t>
        </is>
      </c>
      <c r="B1837" t="inlineStr">
        <is>
          <t>Thitirath Kinaret</t>
        </is>
      </c>
      <c r="C1837" s="2">
        <v>45804</v>
      </c>
      <c r="D1837" s="2"/>
      <c r="E1837" t="inlineStr">
        <is>
          <t>ปกติ</t>
        </is>
      </c>
      <c r="F1837" s="3" t="str">
        <f>=HYPERLINK("https://www.macrumors.com/2025/05/23/ios-18-leak-macbook-pro-m3-ultra-chip/", "https://www.macrumors.com/2025/05/23/ios-18-leak-macbook-pro-m3-ultra-chip/")</f>
        <v>https://www.macrumors.com/2025/05/23/ios-18-leak-macbook-pro-m3-ultra-chip/</v>
      </c>
      <c r="G1837"/>
      <c r="H1837" t="inlineStr">
        <is>
          <t>Website, Pic Posts / Album</t>
        </is>
      </c>
      <c r="I1837" t="inlineStr">
        <is>
          <t>งานประจำวัน</t>
        </is>
      </c>
      <c r="J1837" t="inlineStr">
        <is>
          <t>Done</t>
        </is>
      </c>
      <c r="K1837"/>
      <c r="L1837" s="3"/>
      <c r="M1837" t="inlineStr">
        <is>
          <t>1</t>
        </is>
      </c>
      <c r="N1837" t="inlineStr">
        <is>
          <t>Apple</t>
        </is>
      </c>
      <c r="O1837"/>
    </row>
    <row r="1838" ht="12.75" customHeight="1">
      <c r="A1838" t="inlineStr">
        <is>
          <t>หลุด! ข้อมูลกล้องและสเปค OPPO Find X9 Ultra</t>
        </is>
      </c>
      <c r="B1838" t="inlineStr">
        <is>
          <t>Saktaphat Kordjan</t>
        </is>
      </c>
      <c r="C1838" s="2">
        <v>45804</v>
      </c>
      <c r="D1838" s="2">
        <v>45804</v>
      </c>
      <c r="E1838" t="inlineStr">
        <is>
          <t>ปกติ</t>
        </is>
      </c>
      <c r="F1838" s="3" t="str">
        <f>=HYPERLINK("https://www.gsmarena.com/oppo_find_x9_ultras_camera_configuration_leaks-news-67961.php", "https://www.gsmarena.com/oppo_find_x9_ultras_camera_configuration_leaks-news-67961.php")</f>
        <v>https://www.gsmarena.com/oppo_find_x9_ultras_camera_configuration_leaks-news-67961.php</v>
      </c>
      <c r="G1838"/>
      <c r="H1838" t="inlineStr">
        <is>
          <t>Website</t>
        </is>
      </c>
      <c r="I1838" t="inlineStr">
        <is>
          <t>งานประจำวัน</t>
        </is>
      </c>
      <c r="J1838" t="inlineStr">
        <is>
          <t>Done</t>
        </is>
      </c>
      <c r="K1838"/>
      <c r="L1838" s="3" t="str">
        <f>=HYPERLINK("https://www.iphonemod.net/?p=305758&amp;preview=1&amp;_ppp=8e4d25cad3", "https://www.iphonemod.net/?p=305758&amp;preview=1&amp;_ppp=8e4d25cad3")</f>
        <v>https://www.iphonemod.net/?p=305758&amp;preview=1&amp;_ppp=8e4d25cad3</v>
      </c>
      <c r="M1838" t="inlineStr">
        <is>
          <t>1</t>
        </is>
      </c>
      <c r="N1838" t="inlineStr">
        <is>
          <t>Android</t>
        </is>
      </c>
      <c r="O1838"/>
    </row>
    <row r="1839" ht="12.75" customHeight="1">
      <c r="A1839" t="inlineStr">
        <is>
          <t>ทำ Pic Post เปรียบเทียบ Xiaomi Pad 7 Ultra vs Galaxy Tab S10 Ultra vs iPad Pro ชิป M4</t>
        </is>
      </c>
      <c r="B1839" t="inlineStr">
        <is>
          <t>Sasithakan Sritonthip,Saktaphat Kordjan</t>
        </is>
      </c>
      <c r="C1839" s="2">
        <v>45804</v>
      </c>
      <c r="D1839" s="2"/>
      <c r="E1839" t="inlineStr">
        <is>
          <t>ปกติ</t>
        </is>
      </c>
      <c r="F1839" s="3"/>
      <c r="G1839"/>
      <c r="H1839" t="inlineStr">
        <is>
          <t>Pic Posts / Album</t>
        </is>
      </c>
      <c r="I1839" t="inlineStr">
        <is>
          <t>งานประจำวัน</t>
        </is>
      </c>
      <c r="J1839" t="inlineStr">
        <is>
          <t>Done</t>
        </is>
      </c>
      <c r="K1839"/>
      <c r="L1839" s="3"/>
      <c r="M1839" t="inlineStr">
        <is>
          <t>1</t>
        </is>
      </c>
      <c r="N1839" t="inlineStr">
        <is>
          <t>Android</t>
        </is>
      </c>
      <c r="O1839"/>
    </row>
    <row r="1840" ht="12.75" customHeight="1">
      <c r="A1840" t="inlineStr">
        <is>
          <t>ลือ! iOS 19 อาจมีฟีเจอร์ใช้ AI ช่วยจัดการการใช้แบตเตอรี่</t>
        </is>
      </c>
      <c r="B1840" t="inlineStr">
        <is>
          <t>Thitirath Kinaret</t>
        </is>
      </c>
      <c r="C1840" s="2">
        <v>45804</v>
      </c>
      <c r="D1840" s="2"/>
      <c r="E1840" t="inlineStr">
        <is>
          <t>ปกติ</t>
        </is>
      </c>
      <c r="F1840" s="3" t="str">
        <f>=HYPERLINK("https://www.macrumors.com/2025/05/12/ios-19-ai-battery-management/", "https://www.macrumors.com/2025/05/12/ios-19-ai-battery-management/")</f>
        <v>https://www.macrumors.com/2025/05/12/ios-19-ai-battery-management/</v>
      </c>
      <c r="G1840"/>
      <c r="H1840" t="inlineStr">
        <is>
          <t>Website, Pic Posts / Album</t>
        </is>
      </c>
      <c r="I1840" t="inlineStr">
        <is>
          <t>งานประจำวัน</t>
        </is>
      </c>
      <c r="J1840" t="inlineStr">
        <is>
          <t>Done</t>
        </is>
      </c>
      <c r="K1840"/>
      <c r="L1840" s="3" t="str">
        <f>=HYPERLINK("https://www.iphonemod.net/ios-19-comes-with-ai-battery-feature-report.html", "https://www.iphonemod.net/ios-19-comes-with-ai-battery-feature-report.html")</f>
        <v>https://www.iphonemod.net/ios-19-comes-with-ai-battery-feature-report.html</v>
      </c>
      <c r="M1840" t="inlineStr">
        <is>
          <t>1</t>
        </is>
      </c>
      <c r="N1840" t="inlineStr">
        <is>
          <t>Apple</t>
        </is>
      </c>
      <c r="O1840"/>
    </row>
    <row r="1841" ht="12.75" customHeight="1">
      <c r="A1841" t="inlineStr">
        <is>
          <t>Google กำลังพัฒนา "โหมดเสียงอย่างเดียว" หากผู้ใช้เปิดแอปวิดีโอ ระหว่างขับรถ (Android Automotive)</t>
        </is>
      </c>
      <c r="B1841" t="inlineStr">
        <is>
          <t>Thitirath Kinaret</t>
        </is>
      </c>
      <c r="C1841" s="2">
        <v>45804</v>
      </c>
      <c r="D1841" s="2"/>
      <c r="E1841" t="inlineStr">
        <is>
          <t>ปกติ</t>
        </is>
      </c>
      <c r="F1841" s="3" t="str">
        <f>=HYPERLINK("https://9to5google.com/2025/05/26/android-automotive-apps-video-audio-modes/", "https://9to5google.com/2025/05/26/android-automotive-apps-video-audio-modes/")</f>
        <v>https://9to5google.com/2025/05/26/android-automotive-apps-video-audio-modes/</v>
      </c>
      <c r="G1841"/>
      <c r="H1841" t="inlineStr">
        <is>
          <t>Website, Pic Posts / Album</t>
        </is>
      </c>
      <c r="I1841" t="inlineStr">
        <is>
          <t>งานประจำวัน</t>
        </is>
      </c>
      <c r="J1841" t="inlineStr">
        <is>
          <t>Done</t>
        </is>
      </c>
      <c r="K1841"/>
      <c r="L1841" s="3" t="str">
        <f>=HYPERLINK("https://www.iphonemod.net/google-building-audio-only-mode-android-auto.html", "https://www.iphonemod.net/google-building-audio-only-mode-android-auto.html")</f>
        <v>https://www.iphonemod.net/google-building-audio-only-mode-android-auto.html</v>
      </c>
      <c r="M1841" t="inlineStr">
        <is>
          <t>1</t>
        </is>
      </c>
      <c r="N1841" t="inlineStr">
        <is>
          <t>Android</t>
        </is>
      </c>
      <c r="O1841"/>
    </row>
    <row r="1842" ht="12.75" customHeight="1">
      <c r="A1842" t="inlineStr">
        <is>
          <t>Hyundai Motor ขึ้นแท่นพันธมิตรหลักศึกฟุตบอลอาเซียนอย่างเป็นทางการ ประเดิมทัวร์นาเมนต์ใหญ่ “ASEAN Hyundai Cup</t>
        </is>
      </c>
      <c r="B1842" t="inlineStr">
        <is>
          <t>Nuttanon</t>
        </is>
      </c>
      <c r="C1842" s="2">
        <v>45804</v>
      </c>
      <c r="D1842" s="2">
        <v>45804</v>
      </c>
      <c r="E1842" t="inlineStr">
        <is>
          <t>ปกติ</t>
        </is>
      </c>
      <c r="F1842" s="3"/>
      <c r="G1842"/>
      <c r="H1842" t="inlineStr">
        <is>
          <t>Website</t>
        </is>
      </c>
      <c r="I1842" t="inlineStr">
        <is>
          <t>งานประจำวัน</t>
        </is>
      </c>
      <c r="J1842" t="inlineStr">
        <is>
          <t>Done</t>
        </is>
      </c>
      <c r="K1842"/>
      <c r="L1842" s="3" t="str">
        <f>=HYPERLINK("https://ev.iphonemod.net/hyundai-motor-partner-asean-hyundai-cup/", "https://ev.iphonemod.net/hyundai-motor-partner-asean-hyundai-cup/")</f>
        <v>https://ev.iphonemod.net/hyundai-motor-partner-asean-hyundai-cup/</v>
      </c>
      <c r="M1842" t="inlineStr">
        <is>
          <t>1</t>
        </is>
      </c>
      <c r="N1842" t="inlineStr">
        <is>
          <t>EV</t>
        </is>
      </c>
      <c r="O1842"/>
    </row>
    <row r="1843" ht="12.75" customHeight="1">
      <c r="A1843" t="inlineStr">
        <is>
          <t>Bovensiepen Zagato งานศิลป์สุดหรูพื้นฐาน BMW M4 จากสองพี่น้องแห่ง ALPINA</t>
        </is>
      </c>
      <c r="B1843" t="inlineStr">
        <is>
          <t>Nuttanon</t>
        </is>
      </c>
      <c r="C1843" s="2">
        <v>45804</v>
      </c>
      <c r="D1843" s="2">
        <v>45804</v>
      </c>
      <c r="E1843" t="inlineStr">
        <is>
          <t>ปกติ</t>
        </is>
      </c>
      <c r="F1843" s="3"/>
      <c r="G1843"/>
      <c r="H1843" t="inlineStr">
        <is>
          <t>Website</t>
        </is>
      </c>
      <c r="I1843" t="inlineStr">
        <is>
          <t>งานประจำวัน</t>
        </is>
      </c>
      <c r="J1843" t="inlineStr">
        <is>
          <t>Done</t>
        </is>
      </c>
      <c r="K1843"/>
      <c r="L1843" s="3" t="str">
        <f>=HYPERLINK("https://ev.iphonemod.net/bovensiepen-zagato/", "https://ev.iphonemod.net/bovensiepen-zagato/")</f>
        <v>https://ev.iphonemod.net/bovensiepen-zagato/</v>
      </c>
      <c r="M1843" t="inlineStr">
        <is>
          <t>1</t>
        </is>
      </c>
      <c r="N1843" t="inlineStr">
        <is>
          <t>EV</t>
        </is>
      </c>
      <c r="O1843"/>
    </row>
    <row r="1844" ht="12.75" customHeight="1">
      <c r="A1844" t="inlineStr">
        <is>
          <t>หล่อขั้นสุด! XPENG X9 หลังเคลือบแก้ว Fireball + PPF Leader + Solar Gard ที่ SQG Squared Garage</t>
        </is>
      </c>
      <c r="B1844" t="inlineStr">
        <is>
          <t>Nuttanon</t>
        </is>
      </c>
      <c r="C1844" s="2">
        <v>45804</v>
      </c>
      <c r="D1844" s="2">
        <v>45804</v>
      </c>
      <c r="E1844" t="inlineStr">
        <is>
          <t>ปกติ</t>
        </is>
      </c>
      <c r="F1844" s="3"/>
      <c r="G1844"/>
      <c r="H1844" t="inlineStr">
        <is>
          <t>Website</t>
        </is>
      </c>
      <c r="I1844" t="inlineStr">
        <is>
          <t>งานประจำวัน</t>
        </is>
      </c>
      <c r="J1844" t="inlineStr">
        <is>
          <t>Done</t>
        </is>
      </c>
      <c r="K1844"/>
      <c r="L1844" s="3" t="str">
        <f>=HYPERLINK("https://ev.iphonemod.net/xpeng-x9-x-sqg-squared-garage/", "https://ev.iphonemod.net/xpeng-x9-x-sqg-squared-garage/")</f>
        <v>https://ev.iphonemod.net/xpeng-x9-x-sqg-squared-garage/</v>
      </c>
      <c r="M1844" t="inlineStr">
        <is>
          <t>1</t>
        </is>
      </c>
      <c r="N1844" t="inlineStr">
        <is>
          <t>EV</t>
        </is>
      </c>
      <c r="O1844"/>
    </row>
    <row r="1845" ht="12.75" customHeight="1">
      <c r="A1845" t="inlineStr">
        <is>
          <t>เปิดตัว NIO ET5 &amp; ET5 Touring รุ่นปรับโฉมใหม่ วิ่งได้ไกลสุด 1,055 กม. เริ่มต้นที่ 1.5 ล้านบาท</t>
        </is>
      </c>
      <c r="B1845" t="inlineStr">
        <is>
          <t>Nuttanon</t>
        </is>
      </c>
      <c r="C1845" s="2">
        <v>45804</v>
      </c>
      <c r="D1845" s="2">
        <v>45804</v>
      </c>
      <c r="E1845" t="inlineStr">
        <is>
          <t>ปกติ</t>
        </is>
      </c>
      <c r="F1845" s="3"/>
      <c r="G1845"/>
      <c r="H1845" t="inlineStr">
        <is>
          <t>Website</t>
        </is>
      </c>
      <c r="I1845" t="inlineStr">
        <is>
          <t>งานประจำวัน</t>
        </is>
      </c>
      <c r="J1845" t="inlineStr">
        <is>
          <t>Done</t>
        </is>
      </c>
      <c r="K1845"/>
      <c r="L1845" s="3" t="str">
        <f>=HYPERLINK("https://ev.iphonemod.net/nio-et5-et5-touring/", "https://ev.iphonemod.net/nio-et5-et5-touring/")</f>
        <v>https://ev.iphonemod.net/nio-et5-et5-touring/</v>
      </c>
      <c r="M1845" t="inlineStr">
        <is>
          <t>1</t>
        </is>
      </c>
      <c r="N1845" t="inlineStr">
        <is>
          <t>EV</t>
        </is>
      </c>
      <c r="O1845"/>
    </row>
    <row r="1846" ht="12.75" customHeight="1">
      <c r="A1846" t="inlineStr">
        <is>
          <t>สมาร์ตโฟน Samsung อาจสูงขึ้น 30-40% ในสหรัฐฯ</t>
        </is>
      </c>
      <c r="B1846" t="inlineStr">
        <is>
          <t>Saktaphat Kordjan,Sasithakan Sritonthip</t>
        </is>
      </c>
      <c r="C1846" s="2">
        <v>45803</v>
      </c>
      <c r="D1846" s="2"/>
      <c r="E1846" t="inlineStr">
        <is>
          <t>ปกติ</t>
        </is>
      </c>
      <c r="F1846" s="3" t="str">
        <f>=HYPERLINK("https://9to5google.com/2025/05/25/samsung-galaxy-tariff-price-hike-report/", "https://9to5google.com/2025/05/25/samsung-galaxy-tariff-price-hike-report/")</f>
        <v>https://9to5google.com/2025/05/25/samsung-galaxy-tariff-price-hike-report/</v>
      </c>
      <c r="G1846"/>
      <c r="H1846" t="inlineStr">
        <is>
          <t>Website, Shorts</t>
        </is>
      </c>
      <c r="I1846" t="inlineStr">
        <is>
          <t>งานประจำวัน</t>
        </is>
      </c>
      <c r="J1846" t="inlineStr">
        <is>
          <t>Done</t>
        </is>
      </c>
      <c r="K1846"/>
      <c r="L1846" s="3"/>
      <c r="M1846" t="inlineStr">
        <is>
          <t>1</t>
        </is>
      </c>
      <c r="N1846" t="inlineStr">
        <is>
          <t>Android, Tech, ทั่วไป</t>
        </is>
      </c>
      <c r="O1846"/>
    </row>
    <row r="1847" ht="12.75" customHeight="1">
      <c r="A1847" t="inlineStr">
        <is>
          <t>หลุด! สีใหม่ Google Pixel 10</t>
        </is>
      </c>
      <c r="B1847" t="inlineStr">
        <is>
          <t>Saktaphat Kordjan</t>
        </is>
      </c>
      <c r="C1847" s="2">
        <v>45803</v>
      </c>
      <c r="D1847" s="2"/>
      <c r="E1847" t="inlineStr">
        <is>
          <t>ปกติ</t>
        </is>
      </c>
      <c r="F1847" s="3" t="str">
        <f>=HYPERLINK("https://www.androidauthority.com/pixel-10-colors-3561134/", "https://www.androidauthority.com/pixel-10-colors-3561134/")</f>
        <v>https://www.androidauthority.com/pixel-10-colors-3561134/</v>
      </c>
      <c r="G1847"/>
      <c r="H1847" t="inlineStr">
        <is>
          <t>Website</t>
        </is>
      </c>
      <c r="I1847" t="inlineStr">
        <is>
          <t>งานประจำวัน</t>
        </is>
      </c>
      <c r="J1847" t="inlineStr">
        <is>
          <t>Done</t>
        </is>
      </c>
      <c r="K1847"/>
      <c r="L1847" s="3"/>
      <c r="M1847" t="inlineStr">
        <is>
          <t>1</t>
        </is>
      </c>
      <c r="N1847" t="inlineStr">
        <is>
          <t>Android</t>
        </is>
      </c>
      <c r="O1847"/>
    </row>
    <row r="1848" ht="12.75" customHeight="1">
      <c r="A1848" t="inlineStr">
        <is>
          <t>หลุดข้อมูล One UI 8 เผยดีไซน์ใหม่แอป Samsung Reminder</t>
        </is>
      </c>
      <c r="B1848" t="inlineStr">
        <is>
          <t>Saktaphat Kordjan</t>
        </is>
      </c>
      <c r="C1848" s="2">
        <v>45803</v>
      </c>
      <c r="D1848" s="2">
        <v>45803</v>
      </c>
      <c r="E1848" t="inlineStr">
        <is>
          <t>ปกติ</t>
        </is>
      </c>
      <c r="F1848" s="3" t="str">
        <f>=HYPERLINK("https://www.sammobile.com/news/one-ui-8-samsung-reminder-app-new-design-leak/", "https://www.sammobile.com/news/one-ui-8-samsung-reminder-app-new-design-leak/")</f>
        <v>https://www.sammobile.com/news/one-ui-8-samsung-reminder-app-new-design-leak/</v>
      </c>
      <c r="G1848"/>
      <c r="H1848" t="inlineStr">
        <is>
          <t>Website</t>
        </is>
      </c>
      <c r="I1848" t="inlineStr">
        <is>
          <t>งานประจำวัน</t>
        </is>
      </c>
      <c r="J1848" t="inlineStr">
        <is>
          <t>Done</t>
        </is>
      </c>
      <c r="K1848"/>
      <c r="L1848" s="3"/>
      <c r="M1848" t="inlineStr">
        <is>
          <t>1</t>
        </is>
      </c>
      <c r="N1848" t="inlineStr">
        <is>
          <t>Android</t>
        </is>
      </c>
      <c r="O1848"/>
    </row>
    <row r="1849" ht="12.75" customHeight="1">
      <c r="A1849" t="inlineStr">
        <is>
          <t>Xiaomi แซง Apple ขายอุปกรณ์สวมใส่ได้มากสุดในโลก ต้นปี 2025</t>
        </is>
      </c>
      <c r="B1849" t="inlineStr">
        <is>
          <t>Thitirath Kinaret</t>
        </is>
      </c>
      <c r="C1849" s="2">
        <v>45803</v>
      </c>
      <c r="D1849" s="2"/>
      <c r="E1849" t="inlineStr">
        <is>
          <t>ปกติ</t>
        </is>
      </c>
      <c r="F1849" s="3" t="str">
        <f>=HYPERLINK("https://9to5mac.com/2025/05/23/xiaomi-overtakes-apple-in-wearables-market/", "https://9to5mac.com/2025/05/23/xiaomi-overtakes-apple-in-wearables-market/")</f>
        <v>https://9to5mac.com/2025/05/23/xiaomi-overtakes-apple-in-wearables-market/</v>
      </c>
      <c r="G1849"/>
      <c r="H1849" t="inlineStr">
        <is>
          <t>Website, Pic Posts / Album</t>
        </is>
      </c>
      <c r="I1849" t="inlineStr">
        <is>
          <t>งานประจำวัน</t>
        </is>
      </c>
      <c r="J1849" t="inlineStr">
        <is>
          <t>Done</t>
        </is>
      </c>
      <c r="K1849"/>
      <c r="L1849" s="3" t="str">
        <f>=HYPERLINK("https://www.facebook.com/iPhonemod/posts/pfbid0qR2sSofu5ZSzuriDcJmXBsCuKZtNAJ4jwph5vcSWR2tAvWvcnmgL9Z3mnMywAtMwl", "https://www.facebook.com/iPhonemod/posts/pfbid0qR2sSofu5ZSzuriDcJmXBsCuKZtNAJ4jwph5vcSWR2tAvWvcnmgL9Z3mnMywAtMwl")</f>
        <v>https://www.facebook.com/iPhonemod/posts/pfbid0qR2sSofu5ZSzuriDcJmXBsCuKZtNAJ4jwph5vcSWR2tAvWvcnmgL9Z3mnMywAtMwl</v>
      </c>
      <c r="M1849" t="inlineStr">
        <is>
          <t>1</t>
        </is>
      </c>
      <c r="N1849" t="inlineStr">
        <is>
          <t>Apple</t>
        </is>
      </c>
      <c r="O1849"/>
    </row>
    <row r="1850" ht="12.75" customHeight="1">
      <c r="A1850" t="inlineStr">
        <is>
          <t>Apple อาจเปิดตัว Solarium ใน WWDC25</t>
        </is>
      </c>
      <c r="B1850" t="inlineStr">
        <is>
          <t>Thitirath Kinaret</t>
        </is>
      </c>
      <c r="C1850" s="2">
        <v>45803</v>
      </c>
      <c r="D1850" s="2"/>
      <c r="E1850" t="inlineStr">
        <is>
          <t>ปกติ</t>
        </is>
      </c>
      <c r="F1850" s="3" t="str">
        <f>=HYPERLINK("https://www.iclarified.com/97422/apple-to-unveil-new-solarium-interface-at-wwdc-report", "https://www.iclarified.com/97422/apple-to-unveil-new-solarium-interface-at-wwdc-report")</f>
        <v>https://www.iclarified.com/97422/apple-to-unveil-new-solarium-interface-at-wwdc-report</v>
      </c>
      <c r="G1850"/>
      <c r="H1850" t="inlineStr">
        <is>
          <t>Website, Pic Posts / Album</t>
        </is>
      </c>
      <c r="I1850" t="inlineStr">
        <is>
          <t>งานประจำวัน</t>
        </is>
      </c>
      <c r="J1850" t="inlineStr">
        <is>
          <t>Done</t>
        </is>
      </c>
      <c r="K1850"/>
      <c r="L1850" s="3"/>
      <c r="M1850" t="inlineStr">
        <is>
          <t>1</t>
        </is>
      </c>
      <c r="N1850" t="inlineStr">
        <is>
          <t>Apple</t>
        </is>
      </c>
      <c r="O1850"/>
    </row>
    <row r="1851" ht="12.75" customHeight="1">
      <c r="A1851" t="inlineStr">
        <is>
          <t xml:space="preserve">คลิปสั้น iPhone Vintage </t>
        </is>
      </c>
      <c r="B1851" t="inlineStr">
        <is>
          <t>Sasithakan Sritonthip,Nattida Suriyodara</t>
        </is>
      </c>
      <c r="C1851" s="2">
        <v>45803</v>
      </c>
      <c r="D1851" s="2"/>
      <c r="E1851" t="inlineStr">
        <is>
          <t>ปกติ</t>
        </is>
      </c>
      <c r="F1851" s="3"/>
      <c r="G1851"/>
      <c r="H1851" t="inlineStr">
        <is>
          <t>Shorts</t>
        </is>
      </c>
      <c r="I1851" t="inlineStr">
        <is>
          <t>งานประจำวัน</t>
        </is>
      </c>
      <c r="J1851" t="inlineStr">
        <is>
          <t>Done</t>
        </is>
      </c>
      <c r="K1851"/>
      <c r="L1851" s="3"/>
      <c r="M1851" t="inlineStr">
        <is>
          <t>1</t>
        </is>
      </c>
      <c r="N1851" t="inlineStr">
        <is>
          <t>Apple</t>
        </is>
      </c>
      <c r="O1851"/>
    </row>
    <row r="1852" ht="12.75" customHeight="1">
      <c r="A1852" t="inlineStr">
        <is>
          <t xml:space="preserve">Samsung Galaxy Watch 8 จะมาพร้อมกับชิป Exynos W1000 </t>
        </is>
      </c>
      <c r="B1852" t="inlineStr">
        <is>
          <t>Saktaphat Kordjan</t>
        </is>
      </c>
      <c r="C1852" s="2">
        <v>45803</v>
      </c>
      <c r="D1852" s="2">
        <v>45803</v>
      </c>
      <c r="E1852" t="inlineStr">
        <is>
          <t>ปกติ</t>
        </is>
      </c>
      <c r="F1852" s="3" t="str">
        <f>=HYPERLINK("https://www.gsmarena.com/samsung_galaxy_watch_8_will_be_powered_by_the_familiar_exynos_w1000_chip-news-67946.php", "https://www.gsmarena.com/samsung_galaxy_watch_8_will_be_powered_by_the_familiar_exynos_w1000_chip-news-67946.php")</f>
        <v>https://www.gsmarena.com/samsung_galaxy_watch_8_will_be_powered_by_the_familiar_exynos_w1000_chip-news-67946.php</v>
      </c>
      <c r="G1852"/>
      <c r="H1852" t="inlineStr">
        <is>
          <t>Website</t>
        </is>
      </c>
      <c r="I1852" t="inlineStr">
        <is>
          <t>งานประจำวัน</t>
        </is>
      </c>
      <c r="J1852" t="inlineStr">
        <is>
          <t>Done</t>
        </is>
      </c>
      <c r="K1852"/>
      <c r="L1852" s="3" t="str">
        <f>=HYPERLINK("https://www.iphonemod.net/samsung-galaxy-watch-8-chip-exynosw1000-rumors-unpacked-2025.html", "https://www.iphonemod.net/samsung-galaxy-watch-8-chip-exynosw1000-rumors-unpacked-2025.html")</f>
        <v>https://www.iphonemod.net/samsung-galaxy-watch-8-chip-exynosw1000-rumors-unpacked-2025.html</v>
      </c>
      <c r="M1852" t="inlineStr">
        <is>
          <t>1</t>
        </is>
      </c>
      <c r="N1852" t="inlineStr">
        <is>
          <t>Tech</t>
        </is>
      </c>
      <c r="O1852"/>
    </row>
    <row r="1853" ht="12.75" customHeight="1">
      <c r="A1853" t="inlineStr">
        <is>
          <t>เผยสเปค Mazda EZ-60 SUV ในจีน เตรียมเปิดตัวเดือน ส.ค. 2025 นี้</t>
        </is>
      </c>
      <c r="B1853" t="inlineStr">
        <is>
          <t>Sakura</t>
        </is>
      </c>
      <c r="C1853" s="2">
        <v>45803</v>
      </c>
      <c r="D1853" s="2">
        <v>45803</v>
      </c>
      <c r="E1853" t="inlineStr">
        <is>
          <t>ปกติ</t>
        </is>
      </c>
      <c r="F1853" s="3" t="str">
        <f>=HYPERLINK("https://ev.iphonemod.net/mazda-ez-60-suv-specs-unveiled/", "https://ev.iphonemod.net/mazda-ez-60-suv-specs-unveiled/")</f>
        <v>https://ev.iphonemod.net/mazda-ez-60-suv-specs-unveiled/</v>
      </c>
      <c r="G1853"/>
      <c r="H1853" t="inlineStr">
        <is>
          <t>Website, Pic Posts / Album</t>
        </is>
      </c>
      <c r="I1853" t="inlineStr">
        <is>
          <t>งานประจำวัน</t>
        </is>
      </c>
      <c r="J1853" t="inlineStr">
        <is>
          <t>Done</t>
        </is>
      </c>
      <c r="K1853" t="inlineStr">
        <is>
          <t>https://www.facebook.com/iPhonemod/posts/pfbid032VWq1sssF92kEzG9Rmg3bNZC5P4fjYqW5Wu9axmkXCcmqwycRhrQ8YmuYpbK59pDl</t>
        </is>
      </c>
      <c r="L1853" s="3" t="str">
        <f>=HYPERLINK("https://carnewschina.com/2025/05/24/mazda-ez-60-suv-specs-unveiled-launching-this-august/", "https://carnewschina.com/2025/05/24/mazda-ez-60-suv-specs-unveiled-launching-this-august/")</f>
        <v>https://carnewschina.com/2025/05/24/mazda-ez-60-suv-specs-unveiled-launching-this-august/</v>
      </c>
      <c r="M1853" t="inlineStr">
        <is>
          <t>1</t>
        </is>
      </c>
      <c r="N1853" t="inlineStr">
        <is>
          <t>EV</t>
        </is>
      </c>
      <c r="O1853"/>
    </row>
    <row r="1854" ht="12.75" customHeight="1">
      <c r="A1854" t="inlineStr">
        <is>
          <t xml:space="preserve">วิธีกู้รหัสปลดล็อก iPhone </t>
        </is>
      </c>
      <c r="B1854" t="inlineStr">
        <is>
          <t>Nattida Suriyodara</t>
        </is>
      </c>
      <c r="C1854" s="2">
        <v>45803</v>
      </c>
      <c r="D1854" s="2"/>
      <c r="E1854" t="inlineStr">
        <is>
          <t>ด่วน!</t>
        </is>
      </c>
      <c r="F1854" s="3" t="str">
        <f>=HYPERLINK("https://www.youtube.com/watch?v=Pxb5eqGQrIw&amp;t=4s", "https://www.youtube.com/watch?v=Pxb5eqGQrIw&amp;t=4s")</f>
        <v>https://www.youtube.com/watch?v=Pxb5eqGQrIw&amp;t=4s</v>
      </c>
      <c r="G1854"/>
      <c r="H1854" t="inlineStr">
        <is>
          <t>YouTube</t>
        </is>
      </c>
      <c r="I1854" t="inlineStr">
        <is>
          <t>งานประจำวัน</t>
        </is>
      </c>
      <c r="J1854" t="inlineStr">
        <is>
          <t>Done</t>
        </is>
      </c>
      <c r="K1854" t="inlineStr">
        <is>
          <t>มี 2 วิธี</t>
        </is>
      </c>
      <c r="L1854" s="3"/>
      <c r="M1854" t="inlineStr">
        <is>
          <t>1</t>
        </is>
      </c>
      <c r="N1854" t="inlineStr">
        <is>
          <t>Apple</t>
        </is>
      </c>
      <c r="O1854"/>
    </row>
    <row r="1855" ht="12.75" customHeight="1">
      <c r="A1855" t="inlineStr">
        <is>
          <t>ลืมรหัสผ่านปลดล็อก (Passcode) iPhone, iPad ทำอย่างไร อัปเดต 2025</t>
        </is>
      </c>
      <c r="B1855" t="inlineStr">
        <is>
          <t>Nattida Suriyodara</t>
        </is>
      </c>
      <c r="C1855" s="2">
        <v>45803</v>
      </c>
      <c r="D1855" s="2"/>
      <c r="E1855" t="inlineStr">
        <is>
          <t>ปกติ</t>
        </is>
      </c>
      <c r="F1855" s="3" t="str">
        <f>=HYPERLINK("https://www.iphonemod.net/how-to-reset-iphone-password-2025.html", "https://www.iphonemod.net/how-to-reset-iphone-password-2025.html")</f>
        <v>https://www.iphonemod.net/how-to-reset-iphone-password-2025.html</v>
      </c>
      <c r="G1855"/>
      <c r="H1855" t="inlineStr">
        <is>
          <t>Website</t>
        </is>
      </c>
      <c r="I1855" t="inlineStr">
        <is>
          <t>งานประจำวัน</t>
        </is>
      </c>
      <c r="J1855" t="inlineStr">
        <is>
          <t>Done</t>
        </is>
      </c>
      <c r="K1855" t="inlineStr">
        <is>
          <t>ถ้าไม่อยากเริ่มใหม่หมดให้รอแคปจากคลิปที่ปล่อย</t>
        </is>
      </c>
      <c r="L1855" s="3"/>
      <c r="M1855" t="inlineStr">
        <is>
          <t>1</t>
        </is>
      </c>
      <c r="N1855" t="inlineStr">
        <is>
          <t>Apple</t>
        </is>
      </c>
      <c r="O1855"/>
    </row>
    <row r="1856" ht="12.75" customHeight="1">
      <c r="A1856" t="inlineStr">
        <is>
          <t xml:space="preserve">เขียน Script Voice-over MSI </t>
        </is>
      </c>
      <c r="B1856" t="inlineStr">
        <is>
          <t>Nuttanon</t>
        </is>
      </c>
      <c r="C1856" s="2">
        <v>45803</v>
      </c>
      <c r="D1856" s="2">
        <v>45834</v>
      </c>
      <c r="E1856" t="inlineStr">
        <is>
          <t>ปกติ</t>
        </is>
      </c>
      <c r="F1856" s="3"/>
      <c r="G1856"/>
      <c r="H1856" t="inlineStr">
        <is>
          <t>YouTube</t>
        </is>
      </c>
      <c r="I1856" t="inlineStr">
        <is>
          <t>งานลูกค้า</t>
        </is>
      </c>
      <c r="J1856" t="inlineStr">
        <is>
          <t>Done</t>
        </is>
      </c>
      <c r="K1856" t="inlineStr">
        <is>
          <t>งาน MSI ไต้หวัน</t>
        </is>
      </c>
      <c r="L1856" s="3"/>
      <c r="M1856" t="inlineStr">
        <is>
          <t>1</t>
        </is>
      </c>
      <c r="N1856" t="inlineStr">
        <is>
          <t>EV</t>
        </is>
      </c>
      <c r="O1856"/>
    </row>
    <row r="1857" ht="12.75" customHeight="1">
      <c r="A1857" t="inlineStr">
        <is>
          <t>คลิปสั้น  MSI ตู้ชาร์จรถ EV เตรียมเข้าไทยเพิ่ม 3 รุ่น</t>
        </is>
      </c>
      <c r="B1857" t="inlineStr">
        <is>
          <t>Nuttanon</t>
        </is>
      </c>
      <c r="C1857" s="2">
        <v>45803</v>
      </c>
      <c r="D1857" s="2">
        <v>45803</v>
      </c>
      <c r="E1857" t="inlineStr">
        <is>
          <t>ปกติ</t>
        </is>
      </c>
      <c r="F1857" s="3" t="str">
        <f>=HYPERLINK("https://www.facebook.com/reel/564776350017107", "https://www.facebook.com/reel/564776350017107")</f>
        <v>https://www.facebook.com/reel/564776350017107</v>
      </c>
      <c r="G1857"/>
      <c r="H1857" t="inlineStr">
        <is>
          <t>Shorts</t>
        </is>
      </c>
      <c r="I1857" t="inlineStr">
        <is>
          <t>งานลูกค้า</t>
        </is>
      </c>
      <c r="J1857" t="inlineStr">
        <is>
          <t>Done</t>
        </is>
      </c>
      <c r="K1857" t="inlineStr">
        <is>
          <t xml:space="preserve">งาน MSI ไต้หวัน
MSI ตู้ชาร์จรถ EV เตรียมเข้าไทยเพิ่ม 3 รุ่น EZgo, ECO Series และตู้ DC อย่าง Hyper 80 Dual </t>
        </is>
      </c>
      <c r="L1857" s="3"/>
      <c r="M1857" t="inlineStr">
        <is>
          <t>1</t>
        </is>
      </c>
      <c r="N1857" t="inlineStr">
        <is>
          <t>EV</t>
        </is>
      </c>
      <c r="O1857"/>
    </row>
    <row r="1858" ht="12.75" customHeight="1">
      <c r="A1858" t="inlineStr">
        <is>
          <t>เผยโฉม Volvo XC70 PHEV มาพร้อมแบตเตอรี่ขนาด 39.6 kWh ครั้งแรกในจีน</t>
        </is>
      </c>
      <c r="B1858" t="inlineStr">
        <is>
          <t>Pun</t>
        </is>
      </c>
      <c r="C1858" s="2">
        <v>45803</v>
      </c>
      <c r="D1858" s="2"/>
      <c r="E1858" t="inlineStr">
        <is>
          <t>ปกติ</t>
        </is>
      </c>
      <c r="F1858" s="3"/>
      <c r="G1858"/>
      <c r="H1858" t="inlineStr">
        <is>
          <t>Website</t>
        </is>
      </c>
      <c r="I1858" t="inlineStr">
        <is>
          <t>งานประจำวัน</t>
        </is>
      </c>
      <c r="J1858" t="inlineStr">
        <is>
          <t>Done</t>
        </is>
      </c>
      <c r="K1858"/>
      <c r="L1858" s="3" t="str">
        <f>=HYPERLINK("https://carnewschina.com/2025/05/25/china-made-volvo-xc70-phev-crossover-revealed-a-39-6-kwh-battery/", "https://carnewschina.com/2025/05/25/china-made-volvo-xc70-phev-crossover-revealed-a-39-6-kwh-battery/")</f>
        <v>https://carnewschina.com/2025/05/25/china-made-volvo-xc70-phev-crossover-revealed-a-39-6-kwh-battery/</v>
      </c>
      <c r="M1858" t="inlineStr">
        <is>
          <t>1</t>
        </is>
      </c>
      <c r="N1858" t="inlineStr">
        <is>
          <t>EV</t>
        </is>
      </c>
      <c r="O1858"/>
    </row>
    <row r="1859" ht="12.75" customHeight="1">
      <c r="A1859" t="inlineStr">
        <is>
          <t>S24 Ultra หลังอัป One Ui 7 กับ S25 Ultra รุ่นไหนน่าสนใจ</t>
        </is>
      </c>
      <c r="B1859" t="inlineStr">
        <is>
          <t>Saktaphat Kordjan</t>
        </is>
      </c>
      <c r="C1859" s="2">
        <v>45803</v>
      </c>
      <c r="D1859" s="2"/>
      <c r="E1859" t="inlineStr">
        <is>
          <t>ปกติ</t>
        </is>
      </c>
      <c r="F1859" s="3"/>
      <c r="G1859"/>
      <c r="H1859" t="inlineStr">
        <is>
          <t>YouTube</t>
        </is>
      </c>
      <c r="I1859" t="inlineStr">
        <is>
          <t>เสนอไอเดีย</t>
        </is>
      </c>
      <c r="J1859" t="inlineStr">
        <is>
          <t>Done</t>
        </is>
      </c>
      <c r="K1859"/>
      <c r="L1859" s="3"/>
      <c r="M1859" t="inlineStr">
        <is>
          <t>1</t>
        </is>
      </c>
      <c r="N1859" t="inlineStr">
        <is>
          <t>Android</t>
        </is>
      </c>
      <c r="O1859"/>
    </row>
    <row r="1860" ht="12.75" customHeight="1">
      <c r="A1860" t="inlineStr">
        <is>
          <t>Tesla เกิดอุบัติเหตุจากระบบ FSD พาออกนอกถนน รถพลิกคว่ำ คนขับเผยควบคุมไม่ทัน</t>
        </is>
      </c>
      <c r="B1860" t="inlineStr">
        <is>
          <t>Sakura</t>
        </is>
      </c>
      <c r="C1860" s="2">
        <v>45803</v>
      </c>
      <c r="D1860" s="2">
        <v>45803</v>
      </c>
      <c r="E1860" t="inlineStr">
        <is>
          <t>ปกติ</t>
        </is>
      </c>
      <c r="F1860" s="3" t="str">
        <f>=HYPERLINK("https://electrek.co/2025/05/23/tesla-full-self-driving-veers-off-road-flips-car-scary-crash-driver-couldnt-prevent/", "https://electrek.co/2025/05/23/tesla-full-self-driving-veers-off-road-flips-car-scary-crash-driver-couldnt-prevent/")</f>
        <v>https://electrek.co/2025/05/23/tesla-full-self-driving-veers-off-road-flips-car-scary-crash-driver-couldnt-prevent/</v>
      </c>
      <c r="G1860"/>
      <c r="H1860" t="inlineStr">
        <is>
          <t>Website</t>
        </is>
      </c>
      <c r="I1860" t="inlineStr">
        <is>
          <t>งานประจำวัน</t>
        </is>
      </c>
      <c r="J1860" t="inlineStr">
        <is>
          <t>Done</t>
        </is>
      </c>
      <c r="K1860"/>
      <c r="L1860" s="3" t="str">
        <f>=HYPERLINK("https://ev.iphonemod.net/tesla-full-self-driving-veer-off-road-flop-car/", "https://ev.iphonemod.net/tesla-full-self-driving-veer-off-road-flop-car/")</f>
        <v>https://ev.iphonemod.net/tesla-full-self-driving-veer-off-road-flop-car/</v>
      </c>
      <c r="M1860" t="inlineStr">
        <is>
          <t>1</t>
        </is>
      </c>
      <c r="N1860" t="inlineStr">
        <is>
          <t>EV</t>
        </is>
      </c>
      <c r="O1860"/>
    </row>
    <row r="1861" ht="12.75" customHeight="1">
      <c r="A1861" t="inlineStr">
        <is>
          <t>เผยสเปกหลักของ All-new Xpeng P7 รถยนต์ไฟฟ้าซีดานคูเป้ ประตูปีกนก พละกำลังถึง 586 แรงม้า</t>
        </is>
      </c>
      <c r="B1861" t="inlineStr">
        <is>
          <t>Sakura</t>
        </is>
      </c>
      <c r="C1861" s="2">
        <v>45803</v>
      </c>
      <c r="D1861" s="2">
        <v>45803</v>
      </c>
      <c r="E1861" t="inlineStr">
        <is>
          <t>ปกติ</t>
        </is>
      </c>
      <c r="F1861" s="3" t="str">
        <f>=HYPERLINK("https://carnewschina.com/2025/05/23/all-new-xpeng-p7-ev-sedan-revealed-specs-586-hp-and-scissor-doors/", "https://carnewschina.com/2025/05/23/all-new-xpeng-p7-ev-sedan-revealed-specs-586-hp-and-scissor-doors/")</f>
        <v>https://carnewschina.com/2025/05/23/all-new-xpeng-p7-ev-sedan-revealed-specs-586-hp-and-scissor-doors/</v>
      </c>
      <c r="G1861"/>
      <c r="H1861" t="inlineStr">
        <is>
          <t>Website</t>
        </is>
      </c>
      <c r="I1861" t="inlineStr">
        <is>
          <t>งานประจำวัน</t>
        </is>
      </c>
      <c r="J1861" t="inlineStr">
        <is>
          <t>Done</t>
        </is>
      </c>
      <c r="K1861"/>
      <c r="L1861" s="3" t="str">
        <f>=HYPERLINK("https://ev.iphonemod.net/all-new-xpeng-p7-revealed-spec/", "https://ev.iphonemod.net/all-new-xpeng-p7-revealed-spec/")</f>
        <v>https://ev.iphonemod.net/all-new-xpeng-p7-revealed-spec/</v>
      </c>
      <c r="M1861" t="inlineStr">
        <is>
          <t>1</t>
        </is>
      </c>
      <c r="N1861" t="inlineStr">
        <is>
          <t>EV</t>
        </is>
      </c>
      <c r="O1861"/>
    </row>
    <row r="1862" ht="12.75" customHeight="1">
      <c r="A1862" t="inlineStr">
        <is>
          <t>Gamma - ใช้ AI ทำ Slide Presentation แบบเร็ว</t>
        </is>
      </c>
      <c r="B1862" t="inlineStr">
        <is>
          <t>Sasithakan Sritonthip,Nattida Suriyodara</t>
        </is>
      </c>
      <c r="C1862" s="2">
        <v>45803</v>
      </c>
      <c r="D1862" s="2"/>
      <c r="E1862" t="inlineStr">
        <is>
          <t>ปกติ</t>
        </is>
      </c>
      <c r="F1862" s="3" t="str">
        <f>=HYPERLINK("https://www.instagram.com/p/DKCPfbDJLta/", "https://www.instagram.com/p/DKCPfbDJLta/")</f>
        <v>https://www.instagram.com/p/DKCPfbDJLta/</v>
      </c>
      <c r="G1862"/>
      <c r="H1862" t="inlineStr">
        <is>
          <t>Shorts, Website</t>
        </is>
      </c>
      <c r="I1862" t="inlineStr">
        <is>
          <t>งานประจำวัน</t>
        </is>
      </c>
      <c r="J1862" t="inlineStr">
        <is>
          <t>Done</t>
        </is>
      </c>
      <c r="K1862"/>
      <c r="L1862" s="3"/>
      <c r="M1862" t="inlineStr">
        <is>
          <t>1</t>
        </is>
      </c>
      <c r="N1862" t="inlineStr">
        <is>
          <t>AI</t>
        </is>
      </c>
      <c r="O1862"/>
    </row>
    <row r="1863" ht="12.75" customHeight="1">
      <c r="A1863" t="inlineStr">
        <is>
          <t>Tesla เปิดขายแผงด้านหน้า Alcantara สำหรับ Model 3 และ Model Y รุ่นใหม่</t>
        </is>
      </c>
      <c r="B1863" t="inlineStr">
        <is>
          <t>Sakura</t>
        </is>
      </c>
      <c r="C1863" s="2">
        <v>45803</v>
      </c>
      <c r="D1863" s="2">
        <v>45803</v>
      </c>
      <c r="E1863" t="inlineStr">
        <is>
          <t>ปกติ</t>
        </is>
      </c>
      <c r="F1863" s="3" t="str">
        <f>=HYPERLINK("https://shop.tesla.com/product/model-3_y-dashboard-decor-wing---charcoal-suede", "https://shop.tesla.com/product/model-3_y-dashboard-decor-wing---charcoal-suede")</f>
        <v>https://shop.tesla.com/product/model-3_y-dashboard-decor-wing---charcoal-suede</v>
      </c>
      <c r="G1863"/>
      <c r="H1863" t="inlineStr">
        <is>
          <t>Website, Pic Posts / Album</t>
        </is>
      </c>
      <c r="I1863" t="inlineStr">
        <is>
          <t>งานประจำวัน</t>
        </is>
      </c>
      <c r="J1863" t="inlineStr">
        <is>
          <t>Done</t>
        </is>
      </c>
      <c r="K1863" t="inlineStr">
        <is>
          <t>https://www.facebook.com/iPhonemod/posts/pfbid02nGm45L7tCU3jScuYL2y34rJM7WihG7g4hMHSYXHeWHnunfAH4V9VJxD1d2PFkkiLl</t>
        </is>
      </c>
      <c r="L1863" s="3" t="str">
        <f>=HYPERLINK("https://ev.iphonemod.net/tesla-launched-alcantara-dash-trim-us-canada/", "https://ev.iphonemod.net/tesla-launched-alcantara-dash-trim-us-canada/")</f>
        <v>https://ev.iphonemod.net/tesla-launched-alcantara-dash-trim-us-canada/</v>
      </c>
      <c r="M1863" t="inlineStr">
        <is>
          <t>1</t>
        </is>
      </c>
      <c r="N1863" t="inlineStr">
        <is>
          <t>EV</t>
        </is>
      </c>
      <c r="O1863"/>
    </row>
    <row r="1864" ht="12.75" customHeight="1">
      <c r="A1864" t="inlineStr">
        <is>
          <t>เปลี่ยนจากรูปนิ่ง ให้เป็นวิดีโอ ด้วย Veo2</t>
        </is>
      </c>
      <c r="B1864" t="inlineStr">
        <is>
          <t>Nattida Suriyodara,Sasithakan Sritonthip</t>
        </is>
      </c>
      <c r="C1864" s="2">
        <v>45803</v>
      </c>
      <c r="D1864" s="2"/>
      <c r="E1864" t="inlineStr">
        <is>
          <t>ปกติ</t>
        </is>
      </c>
      <c r="F1864" s="3" t="str">
        <f>=HYPERLINK("https://aistudio.google.com/generate-video", "https://aistudio.google.com/generate-video")</f>
        <v>https://aistudio.google.com/generate-video</v>
      </c>
      <c r="G1864"/>
      <c r="H1864" t="inlineStr">
        <is>
          <t>Shorts</t>
        </is>
      </c>
      <c r="I1864" t="inlineStr">
        <is>
          <t>งานประจำวัน</t>
        </is>
      </c>
      <c r="J1864" t="inlineStr">
        <is>
          <t>Done</t>
        </is>
      </c>
      <c r="K1864" t="inlineStr">
        <is>
          <t>สอนทำผ่านมือถือ</t>
        </is>
      </c>
      <c r="L1864" s="3"/>
      <c r="M1864" t="inlineStr">
        <is>
          <t>1</t>
        </is>
      </c>
      <c r="N1864" t="inlineStr">
        <is>
          <t>AI</t>
        </is>
      </c>
      <c r="O1864"/>
    </row>
    <row r="1865" ht="12.75" customHeight="1">
      <c r="A1865" t="inlineStr">
        <is>
          <t>IM LS6 รุ่นปรับปรุงใหม่ เตรียมเปิดตัวรุ่น EREV หวังกระตุ้นยอดขาย</t>
        </is>
      </c>
      <c r="B1865" t="inlineStr">
        <is>
          <t>Sakura</t>
        </is>
      </c>
      <c r="C1865" s="2">
        <v>45803</v>
      </c>
      <c r="D1865" s="2">
        <v>45803</v>
      </c>
      <c r="E1865" t="inlineStr">
        <is>
          <t>ปกติ</t>
        </is>
      </c>
      <c r="F1865" s="3" t="str">
        <f>=HYPERLINK("https://carnewschina.com/2025/05/23/updated-im-ls6-from-saic-and-alibaba-will-get-an-erev-variant-to-boost-sales/", "https://carnewschina.com/2025/05/23/updated-im-ls6-from-saic-and-alibaba-will-get-an-erev-variant-to-boost-sales/")</f>
        <v>https://carnewschina.com/2025/05/23/updated-im-ls6-from-saic-and-alibaba-will-get-an-erev-variant-to-boost-sales/</v>
      </c>
      <c r="G1865"/>
      <c r="H1865" t="inlineStr">
        <is>
          <t>Website</t>
        </is>
      </c>
      <c r="I1865" t="inlineStr">
        <is>
          <t>งานประจำวัน</t>
        </is>
      </c>
      <c r="J1865" t="inlineStr">
        <is>
          <t>Done</t>
        </is>
      </c>
      <c r="K1865"/>
      <c r="L1865" s="3" t="str">
        <f>=HYPERLINK("https://ev.iphonemod.net/im-ls6-updated-come-with-erev-version/", "https://ev.iphonemod.net/im-ls6-updated-come-with-erev-version/")</f>
        <v>https://ev.iphonemod.net/im-ls6-updated-come-with-erev-version/</v>
      </c>
      <c r="M1865" t="inlineStr">
        <is>
          <t>1</t>
        </is>
      </c>
      <c r="N1865" t="inlineStr">
        <is>
          <t>EV</t>
        </is>
      </c>
      <c r="O1865"/>
    </row>
    <row r="1866" ht="12.75" customHeight="1">
      <c r="A1866" t="inlineStr">
        <is>
          <t>จักรยานไฟฟ้า Mercedes-AMG F1 City Edition 750 E-Bike พร้อมหมวกกันน็อคสุดล้ำ</t>
        </is>
      </c>
      <c r="B1866" t="inlineStr">
        <is>
          <t>Nuttanon</t>
        </is>
      </c>
      <c r="C1866" s="2">
        <v>45803</v>
      </c>
      <c r="D1866" s="2">
        <v>45803</v>
      </c>
      <c r="E1866" t="inlineStr">
        <is>
          <t>ปกติ</t>
        </is>
      </c>
      <c r="F1866" s="3" t="str">
        <f>=HYPERLINK("https://www.yahoo.com/lifestyle/mercedes-amg-f1-city-edition-184214670.html?guccounter=1&amp;guce_referrer=aHR0cHM6Ly9ldi5pcGhvbmVtb2QubmV0Lw&amp;guce_referrer_sig=AQAAAJqlyEYx2W1ucpwKiN5iL1AmbAE45SavVeTO54y7ovScePDa3VIn8_GQuugWYcw-dLY3-JIeuz1bW1xnJuigRNhPhZlcy861GRS6YnGdVFCA5-DUo1xHNoEIzxGhy1bzjcDPgSdowBQ_J8sCM7x8IG3fUYtt_HrwhfUAPMknRWyx", "https://www.yahoo.com/lifestyle/mercedes-amg-f1-city-edition-184214670.html?guccounter=1&amp;guce_referrer=aHR0cHM6Ly9ldi5pcGhvbmVtb2QubmV0Lw&amp;guce_referrer_sig=AQAAAJqlyEYx2W1ucpwKiN5iL1AmbAE45SavVeTO54y7ovScePDa3VIn8_GQuugWYcw-dLY3-JIeuz1bW1xnJuigRNhPhZlcy861GRS6YnGdVFCA5-DUo1xHNoEIzxGhy1bzjcDPgSdowBQ_J8sCM7x8IG3fUYtt_HrwhfUAPMknRWyx")</f>
        <v>https://www.yahoo.com/lifestyle/mercedes-amg-f1-city-edition-184214670.html?guccounter=1&amp;guce_referrer=aHR0cHM6Ly9ldi5pcGhvbmVtb2QubmV0Lw&amp;guce_referrer_sig=AQAAAJqlyEYx2W1ucpwKiN5iL1AmbAE45SavVeTO54y7ovScePDa3VIn8_GQuugWYcw-dLY3-JIeuz1bW1xnJuigRNhPhZlcy861GRS6YnGdVFCA5-DUo1xHNoEIzxGhy1bzjcDPgSdowBQ_J8sCM7x8IG3fUYtt_HrwhfUAPMknRWyx</v>
      </c>
      <c r="G1866"/>
      <c r="H1866" t="inlineStr">
        <is>
          <t>Website</t>
        </is>
      </c>
      <c r="I1866" t="inlineStr">
        <is>
          <t>งานประจำวัน</t>
        </is>
      </c>
      <c r="J1866" t="inlineStr">
        <is>
          <t>Done</t>
        </is>
      </c>
      <c r="K1866"/>
      <c r="L1866" s="3" t="str">
        <f>=HYPERLINK("https://ev.iphonemod.net/mercedes-amg-f1-city-edition-750-e-bike/", "https://ev.iphonemod.net/mercedes-amg-f1-city-edition-750-e-bike/")</f>
        <v>https://ev.iphonemod.net/mercedes-amg-f1-city-edition-750-e-bike/</v>
      </c>
      <c r="M1866" t="inlineStr">
        <is>
          <t>1</t>
        </is>
      </c>
      <c r="N1866" t="inlineStr">
        <is>
          <t>EV</t>
        </is>
      </c>
      <c r="O1866"/>
    </row>
    <row r="1867" ht="12.75" customHeight="1">
      <c r="A1867" t="inlineStr">
        <is>
          <t>รวมรถยนต์ EV HEV PHEV ในไทย แบ่งตามช่วงราคา</t>
        </is>
      </c>
      <c r="B1867" t="inlineStr">
        <is>
          <t>Sakura</t>
        </is>
      </c>
      <c r="C1867" s="2">
        <v>45802</v>
      </c>
      <c r="D1867" s="2">
        <v>45804</v>
      </c>
      <c r="E1867" t="inlineStr">
        <is>
          <t>ปกติ</t>
        </is>
      </c>
      <c r="F1867" s="3"/>
      <c r="G1867"/>
      <c r="H1867" t="inlineStr">
        <is>
          <t>Pic Posts / Album, Website</t>
        </is>
      </c>
      <c r="I1867" t="inlineStr">
        <is>
          <t>งานประจำวัน</t>
        </is>
      </c>
      <c r="J1867" t="inlineStr">
        <is>
          <t>Done</t>
        </is>
      </c>
      <c r="K1867"/>
      <c r="L1867" s="3"/>
      <c r="M1867" t="inlineStr">
        <is>
          <t>1</t>
        </is>
      </c>
      <c r="N1867" t="inlineStr">
        <is>
          <t>EV</t>
        </is>
      </c>
      <c r="O1867"/>
    </row>
    <row r="1868" ht="12.75" customHeight="1">
      <c r="A1868" t="inlineStr">
        <is>
          <t>Samsung โดนด้วย! Trump ขู่ขึ้นภาษี 25% หากไม่ผลิตในสหรัฐฯ</t>
        </is>
      </c>
      <c r="B1868" t="inlineStr">
        <is>
          <t>Thitirath Kinaret</t>
        </is>
      </c>
      <c r="C1868" s="2">
        <v>45801</v>
      </c>
      <c r="D1868" s="2"/>
      <c r="E1868" t="inlineStr">
        <is>
          <t>ปกติ</t>
        </is>
      </c>
      <c r="F1868" s="3" t="str">
        <f>=HYPERLINK("https://9to5google.com/2025/05/23/samsung-smartphone-tariffs-trump-iphone/", "https://9to5google.com/2025/05/23/samsung-smartphone-tariffs-trump-iphone/")</f>
        <v>https://9to5google.com/2025/05/23/samsung-smartphone-tariffs-trump-iphone/</v>
      </c>
      <c r="G1868"/>
      <c r="H1868" t="inlineStr">
        <is>
          <t>Website, Pic Posts / Album</t>
        </is>
      </c>
      <c r="I1868" t="inlineStr">
        <is>
          <t>งานประจำวัน</t>
        </is>
      </c>
      <c r="J1868" t="inlineStr">
        <is>
          <t>Done</t>
        </is>
      </c>
      <c r="K1868"/>
      <c r="L1868" s="3"/>
      <c r="M1868" t="inlineStr">
        <is>
          <t>1</t>
        </is>
      </c>
      <c r="N1868" t="inlineStr">
        <is>
          <t>Android</t>
        </is>
      </c>
      <c r="O1868"/>
    </row>
    <row r="1869" ht="12.75" customHeight="1">
      <c r="A1869" t="inlineStr">
        <is>
          <t>Trump ขู่ขึ้นภาษีนำเข้า 25% หาก Apple ไม่ผลิต iPhone ในสหรัฐฯ</t>
        </is>
      </c>
      <c r="B1869" t="inlineStr">
        <is>
          <t>Thitirath Kinaret</t>
        </is>
      </c>
      <c r="C1869" s="2">
        <v>45801</v>
      </c>
      <c r="D1869" s="2">
        <v>45801</v>
      </c>
      <c r="E1869" t="inlineStr">
        <is>
          <t>ปกติ</t>
        </is>
      </c>
      <c r="F1869" s="3" t="str">
        <f>=HYPERLINK("https://www.iphonemod.net/trump-demands-us-iphone-production-25-percent-tariff.html", "https://www.iphonemod.net/trump-demands-us-iphone-production-25-percent-tariff.html")</f>
        <v>https://www.iphonemod.net/trump-demands-us-iphone-production-25-percent-tariff.html</v>
      </c>
      <c r="G1869"/>
      <c r="H1869" t="inlineStr">
        <is>
          <t>Website, Pic Posts / Album</t>
        </is>
      </c>
      <c r="I1869" t="inlineStr">
        <is>
          <t>งานประจำวัน</t>
        </is>
      </c>
      <c r="J1869" t="inlineStr">
        <is>
          <t>Done</t>
        </is>
      </c>
      <c r="K1869"/>
      <c r="L1869" s="3" t="str">
        <f>=HYPERLINK("https://www.iphonemod.net/trump-demands-us-iphone-production-25-percent-tariff.html", "https://www.iphonemod.net/trump-demands-us-iphone-production-25-percent-tariff.html")</f>
        <v>https://www.iphonemod.net/trump-demands-us-iphone-production-25-percent-tariff.html</v>
      </c>
      <c r="M1869" t="inlineStr">
        <is>
          <t>1</t>
        </is>
      </c>
      <c r="N1869" t="inlineStr">
        <is>
          <t>Apple</t>
        </is>
      </c>
      <c r="O1869"/>
    </row>
    <row r="1870" ht="12.75" customHeight="1">
      <c r="A1870" t="inlineStr">
        <is>
          <t>เขียนบทความ Gemini Live</t>
        </is>
      </c>
      <c r="B1870" t="inlineStr">
        <is>
          <t>Sasithakan Sritonthip</t>
        </is>
      </c>
      <c r="C1870" s="2">
        <v>45800</v>
      </c>
      <c r="D1870" s="2"/>
      <c r="E1870" t="inlineStr">
        <is>
          <t>ปกติ</t>
        </is>
      </c>
      <c r="F1870" s="3" t="str">
        <f>=HYPERLINK("https://www.macrumors.com/2025/05/20/google-gemini-live-ios-app/", "https://www.macrumors.com/2025/05/20/google-gemini-live-ios-app/")</f>
        <v>https://www.macrumors.com/2025/05/20/google-gemini-live-ios-app/</v>
      </c>
      <c r="G1870"/>
      <c r="H1870" t="inlineStr">
        <is>
          <t>Website</t>
        </is>
      </c>
      <c r="I1870" t="inlineStr">
        <is>
          <t>งานประจำวัน</t>
        </is>
      </c>
      <c r="J1870" t="inlineStr">
        <is>
          <t>Done</t>
        </is>
      </c>
      <c r="K1870"/>
      <c r="L1870" s="3"/>
      <c r="M1870" t="inlineStr">
        <is>
          <t>1</t>
        </is>
      </c>
      <c r="N1870" t="inlineStr">
        <is>
          <t>AI</t>
        </is>
      </c>
      <c r="O1870"/>
    </row>
    <row r="1871" ht="12.75" customHeight="1">
      <c r="A1871" t="inlineStr">
        <is>
          <t>เขียนบทความ Google Android XR Smart Glasses</t>
        </is>
      </c>
      <c r="B1871" t="inlineStr">
        <is>
          <t>Sasithakan Sritonthip</t>
        </is>
      </c>
      <c r="C1871" s="2">
        <v>45800</v>
      </c>
      <c r="D1871" s="2"/>
      <c r="E1871" t="inlineStr">
        <is>
          <t>ปกติ</t>
        </is>
      </c>
      <c r="F1871" s="3" t="str">
        <f>=HYPERLINK("https://www.macrumors.com/2025/05/20/google-android-xr-smart-glasses/", "https://www.macrumors.com/2025/05/20/google-android-xr-smart-glasses/")</f>
        <v>https://www.macrumors.com/2025/05/20/google-android-xr-smart-glasses/</v>
      </c>
      <c r="G1871"/>
      <c r="H1871" t="inlineStr">
        <is>
          <t>Website</t>
        </is>
      </c>
      <c r="I1871" t="inlineStr">
        <is>
          <t>งานประจำวัน</t>
        </is>
      </c>
      <c r="J1871" t="inlineStr">
        <is>
          <t>Done</t>
        </is>
      </c>
      <c r="K1871"/>
      <c r="L1871" s="3"/>
      <c r="M1871" t="inlineStr">
        <is>
          <t>1</t>
        </is>
      </c>
      <c r="N1871" t="inlineStr">
        <is>
          <t>Android</t>
        </is>
      </c>
      <c r="O1871"/>
    </row>
    <row r="1872" ht="12.75" customHeight="1">
      <c r="A1872" t="inlineStr">
        <is>
          <t>สรุปข่าว Apple 25/5/68</t>
        </is>
      </c>
      <c r="B1872" t="inlineStr">
        <is>
          <t>Thitirath Kinaret</t>
        </is>
      </c>
      <c r="C1872" s="2">
        <v>45800</v>
      </c>
      <c r="D1872" s="2"/>
      <c r="E1872" t="inlineStr">
        <is>
          <t>ปกติ</t>
        </is>
      </c>
      <c r="F1872" s="3"/>
      <c r="G1872"/>
      <c r="H1872" t="inlineStr">
        <is>
          <t>YouTube</t>
        </is>
      </c>
      <c r="I1872" t="inlineStr">
        <is>
          <t>งานประจำวัน</t>
        </is>
      </c>
      <c r="J1872" t="inlineStr">
        <is>
          <t>Done</t>
        </is>
      </c>
      <c r="K1872"/>
      <c r="L1872" s="3"/>
      <c r="M1872" t="inlineStr">
        <is>
          <t>1</t>
        </is>
      </c>
      <c r="N1872" t="inlineStr">
        <is>
          <t>Apple</t>
        </is>
      </c>
      <c r="O1872"/>
    </row>
    <row r="1873" ht="12.75" customHeight="1">
      <c r="A1873" t="inlineStr">
        <is>
          <t>เปิดตัว Xiaomi 15S Pro ใช้ชิป Xring O1 แรงกว่า A18 Pro เกือบ 2 เท่า</t>
        </is>
      </c>
      <c r="B1873" t="inlineStr">
        <is>
          <t>Saktaphat Kordjan</t>
        </is>
      </c>
      <c r="C1873" s="2">
        <v>45800</v>
      </c>
      <c r="D1873" s="2">
        <v>45800</v>
      </c>
      <c r="E1873" t="inlineStr">
        <is>
          <t>ด่วน!</t>
        </is>
      </c>
      <c r="F1873" s="3" t="str">
        <f>=HYPERLINK("https://www.gsmarena.com/xiaomi_15s_pro_debuts_with_inhouse_xring_o1_chipset-news-67921.php", "https://www.gsmarena.com/xiaomi_15s_pro_debuts_with_inhouse_xring_o1_chipset-news-67921.php")</f>
        <v>https://www.gsmarena.com/xiaomi_15s_pro_debuts_with_inhouse_xring_o1_chipset-news-67921.php</v>
      </c>
      <c r="G1873"/>
      <c r="H1873" t="inlineStr">
        <is>
          <t>Website, Shorts</t>
        </is>
      </c>
      <c r="I1873" t="inlineStr">
        <is>
          <t>งานประจำวัน</t>
        </is>
      </c>
      <c r="J1873" t="inlineStr">
        <is>
          <t>Done</t>
        </is>
      </c>
      <c r="K1873" t="inlineStr">
        <is>
          <t>รายละเอียดสเปค Xiaomi 15S Pro และชิป Xring O1</t>
        </is>
      </c>
      <c r="L1873" s="3" t="str">
        <f>=HYPERLINK("https://www.iphonemod.net/xiaomi-release-xiaomi-15s-pro-new-chipset-xring-o1.html", "https://www.iphonemod.net/xiaomi-release-xiaomi-15s-pro-new-chipset-xring-o1.html")</f>
        <v>https://www.iphonemod.net/xiaomi-release-xiaomi-15s-pro-new-chipset-xring-o1.html</v>
      </c>
      <c r="M1873" t="inlineStr">
        <is>
          <t>1</t>
        </is>
      </c>
      <c r="N1873" t="inlineStr">
        <is>
          <t>AI</t>
        </is>
      </c>
      <c r="O1873"/>
    </row>
    <row r="1874" ht="12.75" customHeight="1">
      <c r="A1874" t="inlineStr">
        <is>
          <t>Android Auto เตรียมเพิ่มฟีเจอร์เบราว์เซอร์และแอปดูวิดีโอเร็ว ๆ นี้</t>
        </is>
      </c>
      <c r="B1874" t="inlineStr">
        <is>
          <t>Saktaphat Kordjan</t>
        </is>
      </c>
      <c r="C1874" s="2">
        <v>45800</v>
      </c>
      <c r="D1874" s="2">
        <v>45800</v>
      </c>
      <c r="E1874" t="inlineStr">
        <is>
          <t>ปกติ</t>
        </is>
      </c>
      <c r="F1874" s="3" t="str">
        <f>=HYPERLINK("https://www.sammobile.com/news/samsung-tri-fold-availability-and-price-limited-expensive/", "https://www.sammobile.com/news/samsung-tri-fold-availability-and-price-limited-expensive/")</f>
        <v>https://www.sammobile.com/news/samsung-tri-fold-availability-and-price-limited-expensive/</v>
      </c>
      <c r="G1874"/>
      <c r="H1874" t="inlineStr">
        <is>
          <t>Website</t>
        </is>
      </c>
      <c r="I1874" t="inlineStr">
        <is>
          <t>งานประจำวัน</t>
        </is>
      </c>
      <c r="J1874" t="inlineStr">
        <is>
          <t>Done</t>
        </is>
      </c>
      <c r="K1874" t="inlineStr">
        <is>
          <t>รายละเอียดการเพิ่มฟีเจอร์ท่องเว็บและดูวิดีโอใน Android Auto</t>
        </is>
      </c>
      <c r="L1874" s="3" t="str">
        <f>=HYPERLINK("https://www.iphonemod.net/google-prepare-to-add-new-features-on-android-auto-2025.html", "https://www.iphonemod.net/google-prepare-to-add-new-features-on-android-auto-2025.html")</f>
        <v>https://www.iphonemod.net/google-prepare-to-add-new-features-on-android-auto-2025.html</v>
      </c>
      <c r="M1874" t="inlineStr">
        <is>
          <t>1</t>
        </is>
      </c>
      <c r="N1874" t="inlineStr">
        <is>
          <t>Android</t>
        </is>
      </c>
      <c r="O1874"/>
    </row>
    <row r="1875" ht="12.75" customHeight="1">
      <c r="A1875" t="inlineStr">
        <is>
          <t xml:space="preserve">แปลข่าว Claude 4 </t>
        </is>
      </c>
      <c r="B1875" t="inlineStr">
        <is>
          <t>Nattida Suriyodara</t>
        </is>
      </c>
      <c r="C1875" s="2">
        <v>45800</v>
      </c>
      <c r="D1875" s="2"/>
      <c r="E1875" t="inlineStr">
        <is>
          <t>ปกติ</t>
        </is>
      </c>
      <c r="F1875" s="3" t="str">
        <f>=HYPERLINK("https://www.macrumors.com/2025/05/22/anthropic-launches-claude-4/", "https://www.macrumors.com/2025/05/22/anthropic-launches-claude-4/")</f>
        <v>https://www.macrumors.com/2025/05/22/anthropic-launches-claude-4/</v>
      </c>
      <c r="G1875"/>
      <c r="H1875" t="inlineStr">
        <is>
          <t>Website</t>
        </is>
      </c>
      <c r="I1875" t="inlineStr">
        <is>
          <t>งานประจำวัน</t>
        </is>
      </c>
      <c r="J1875" t="inlineStr">
        <is>
          <t>Done</t>
        </is>
      </c>
      <c r="K1875"/>
      <c r="L1875" s="3"/>
      <c r="M1875" t="inlineStr">
        <is>
          <t>1</t>
        </is>
      </c>
      <c r="N1875" t="inlineStr">
        <is>
          <t>AI</t>
        </is>
      </c>
      <c r="O1875"/>
    </row>
    <row r="1876" ht="12.75" customHeight="1">
      <c r="A1876" t="inlineStr">
        <is>
          <t>Google Try it On</t>
        </is>
      </c>
      <c r="B1876" t="inlineStr">
        <is>
          <t>Nattida Suriyodara</t>
        </is>
      </c>
      <c r="C1876" s="2">
        <v>45800</v>
      </c>
      <c r="D1876" s="2"/>
      <c r="E1876" t="inlineStr">
        <is>
          <t>ปกติ</t>
        </is>
      </c>
      <c r="F1876" s="3" t="str">
        <f>=HYPERLINK("https://www.youtube.com/watch?v=o8NiE3XMPrM&amp;t=681s", "https://www.youtube.com/watch?v=o8NiE3XMPrM&amp;t=681s")</f>
        <v>https://www.youtube.com/watch?v=o8NiE3XMPrM&amp;t=681s</v>
      </c>
      <c r="G1876"/>
      <c r="H1876" t="inlineStr">
        <is>
          <t>Shorts</t>
        </is>
      </c>
      <c r="I1876" t="inlineStr">
        <is>
          <t>งานประจำวัน</t>
        </is>
      </c>
      <c r="J1876" t="inlineStr">
        <is>
          <t>Done</t>
        </is>
      </c>
      <c r="K1876"/>
      <c r="L1876" s="3" t="str">
        <f>=HYPERLINK("https://www.youtube.com/watch?v=o8NiE3XMPrM&amp;t=681s", "https://blog.google/products/shopping/how-to-use-google-shopping-try-it-on/")</f>
        <v>https://blog.google/products/shopping/how-to-use-google-shopping-try-it-on/</v>
      </c>
      <c r="M1876" t="inlineStr">
        <is>
          <t>1</t>
        </is>
      </c>
      <c r="N1876" t="inlineStr">
        <is>
          <t>AI</t>
        </is>
      </c>
      <c r="O1876"/>
    </row>
    <row r="1877" ht="12.75" customHeight="1">
      <c r="A1877" t="inlineStr">
        <is>
          <t>อุปกรณ์ AI ของ Ive อาจเป็นเหมือน iPod Shuffle ที่แขวนคอได้</t>
        </is>
      </c>
      <c r="B1877" t="inlineStr">
        <is>
          <t>Thitirath Kinaret</t>
        </is>
      </c>
      <c r="C1877" s="2">
        <v>45800</v>
      </c>
      <c r="D1877" s="2"/>
      <c r="E1877" t="inlineStr">
        <is>
          <t>ปกติ</t>
        </is>
      </c>
      <c r="F1877" s="3" t="str">
        <f>=HYPERLINK("https://www.macrumors.com/2025/05/22/ming-chi-kuo-on-openai-device-design/", "https://www.macrumors.com/2025/05/22/ming-chi-kuo-on-openai-device-design/")</f>
        <v>https://www.macrumors.com/2025/05/22/ming-chi-kuo-on-openai-device-design/</v>
      </c>
      <c r="G1877"/>
      <c r="H1877" t="inlineStr">
        <is>
          <t>Website, Pic Posts / Album</t>
        </is>
      </c>
      <c r="I1877" t="inlineStr">
        <is>
          <t>งานประจำวัน</t>
        </is>
      </c>
      <c r="J1877" t="inlineStr">
        <is>
          <t>Done</t>
        </is>
      </c>
      <c r="K1877"/>
      <c r="L1877" s="3" t="str">
        <f>=HYPERLINK("https://www.iphonemod.net/jony-ive-openai-ai-device-looklike-ipod-shuffle-neck-worn-report.html", "https://www.iphonemod.net/jony-ive-openai-ai-device-looklike-ipod-shuffle-neck-worn-report.html")</f>
        <v>https://www.iphonemod.net/jony-ive-openai-ai-device-looklike-ipod-shuffle-neck-worn-report.html</v>
      </c>
      <c r="M1877" t="inlineStr">
        <is>
          <t>1</t>
        </is>
      </c>
      <c r="N1877" t="inlineStr">
        <is>
          <t>Android</t>
        </is>
      </c>
      <c r="O1877"/>
    </row>
    <row r="1878" ht="12.75" customHeight="1">
      <c r="A1878" t="inlineStr">
        <is>
          <t>Xiaomi เปิดตัว Xring O1 ท้าชนชิป Apple Silicon</t>
        </is>
      </c>
      <c r="B1878" t="inlineStr">
        <is>
          <t>Thitirath Kinaret</t>
        </is>
      </c>
      <c r="C1878" s="2">
        <v>45800</v>
      </c>
      <c r="D1878" s="2"/>
      <c r="E1878" t="inlineStr">
        <is>
          <t>ปกติ</t>
        </is>
      </c>
      <c r="F1878" s="3" t="str">
        <f>=HYPERLINK("https://www.macrumors.com/2025/05/22/xiaomi-announces-custom-chip/", "https://www.macrumors.com/2025/05/22/xiaomi-announces-custom-chip/")</f>
        <v>https://www.macrumors.com/2025/05/22/xiaomi-announces-custom-chip/</v>
      </c>
      <c r="G1878"/>
      <c r="H1878" t="inlineStr">
        <is>
          <t>Website, Pic Posts / Album</t>
        </is>
      </c>
      <c r="I1878" t="inlineStr">
        <is>
          <t>งานประจำวัน</t>
        </is>
      </c>
      <c r="J1878" t="inlineStr">
        <is>
          <t>Done</t>
        </is>
      </c>
      <c r="K1878"/>
      <c r="L1878" s="3"/>
      <c r="M1878" t="inlineStr">
        <is>
          <t>1</t>
        </is>
      </c>
      <c r="N1878" t="inlineStr">
        <is>
          <t>Android</t>
        </is>
      </c>
      <c r="O1878"/>
    </row>
    <row r="1879" ht="12.75" customHeight="1">
      <c r="A1879" t="inlineStr">
        <is>
          <t>Google AI - FLOW</t>
        </is>
      </c>
      <c r="B1879" t="inlineStr">
        <is>
          <t>Sasithakan Sritonthip</t>
        </is>
      </c>
      <c r="C1879" s="2">
        <v>45800</v>
      </c>
      <c r="D1879" s="2">
        <v>45800</v>
      </c>
      <c r="E1879" t="inlineStr">
        <is>
          <t>ปกติ</t>
        </is>
      </c>
      <c r="F1879" s="3" t="str">
        <f>=HYPERLINK("https://www.youtube.com/watch?v=o8NiE3XMPrM&amp;t=681s,", "https://www.youtube.com/watch?v=o8NiE3XMPrM&amp;t=681s,https://labs.google/flow/about,https://blog.google/technology/ai/google-flow-veo-ai-filmmaking-tool/")</f>
        <v>https://www.youtube.com/watch?v=o8NiE3XMPrM&amp;t=681s,https://labs.google/flow/about,https://blog.google/technology/ai/google-flow-veo-ai-filmmaking-tool/</v>
      </c>
      <c r="G1879"/>
      <c r="H1879" t="inlineStr">
        <is>
          <t>Shorts</t>
        </is>
      </c>
      <c r="I1879" t="inlineStr">
        <is>
          <t>งานประจำวัน</t>
        </is>
      </c>
      <c r="J1879" t="inlineStr">
        <is>
          <t>Done</t>
        </is>
      </c>
      <c r="K1879"/>
      <c r="L1879" s="3"/>
      <c r="M1879" t="inlineStr">
        <is>
          <t>1</t>
        </is>
      </c>
      <c r="N1879" t="inlineStr">
        <is>
          <t>AI</t>
        </is>
      </c>
      <c r="O1879"/>
    </row>
    <row r="1880" ht="12.75" customHeight="1">
      <c r="A1880" t="inlineStr">
        <is>
          <t>ข่าวลือ Apple Smart Glasses เปิดตัวปี 2026</t>
        </is>
      </c>
      <c r="B1880" t="inlineStr">
        <is>
          <t>Thitirath Kinaret</t>
        </is>
      </c>
      <c r="C1880" s="2">
        <v>45800</v>
      </c>
      <c r="D1880" s="2"/>
      <c r="E1880" t="inlineStr">
        <is>
          <t>ปกติ</t>
        </is>
      </c>
      <c r="F1880" s="3" t="str">
        <f>=HYPERLINK("https://www.macrumors.com/2025/05/22/apple-smart-glasses-launching-in-2026/", "https://www.macrumors.com/2025/05/22/apple-smart-glasses-launching-in-2026/")</f>
        <v>https://www.macrumors.com/2025/05/22/apple-smart-glasses-launching-in-2026/</v>
      </c>
      <c r="G1880"/>
      <c r="H1880" t="inlineStr">
        <is>
          <t>Website, Pic Posts / Album</t>
        </is>
      </c>
      <c r="I1880" t="inlineStr">
        <is>
          <t>งานประจำวัน</t>
        </is>
      </c>
      <c r="J1880" t="inlineStr">
        <is>
          <t>Done</t>
        </is>
      </c>
      <c r="K1880"/>
      <c r="L1880" s="3"/>
      <c r="M1880" t="inlineStr">
        <is>
          <t>1</t>
        </is>
      </c>
      <c r="N1880" t="inlineStr">
        <is>
          <t>Apple</t>
        </is>
      </c>
      <c r="O1880"/>
    </row>
    <row r="1881" ht="12.75" customHeight="1">
      <c r="A1881" t="inlineStr">
        <is>
          <t xml:space="preserve"> Google Play Store อาจมีการออกแบบใหม่ในเร็ว ๆ นี้</t>
        </is>
      </c>
      <c r="B1881" t="inlineStr">
        <is>
          <t>Saktaphat Kordjan</t>
        </is>
      </c>
      <c r="C1881" s="2">
        <v>45800</v>
      </c>
      <c r="D1881" s="2"/>
      <c r="E1881" t="inlineStr">
        <is>
          <t>ปกติ</t>
        </is>
      </c>
      <c r="F1881" s="3" t="str">
        <f>=HYPERLINK("https://9to5google.com/2025/05/22/google-play-fun-redesign/", "https://9to5google.com/2025/05/22/google-play-fun-redesign/")</f>
        <v>https://9to5google.com/2025/05/22/google-play-fun-redesign/</v>
      </c>
      <c r="G1881"/>
      <c r="H1881" t="inlineStr">
        <is>
          <t>Website</t>
        </is>
      </c>
      <c r="I1881" t="inlineStr">
        <is>
          <t>งานประจำวัน</t>
        </is>
      </c>
      <c r="J1881" t="inlineStr">
        <is>
          <t>Done</t>
        </is>
      </c>
      <c r="K1881" t="inlineStr">
        <is>
          <t>Google playstore จะมีการออกแบบใหม่ พร้อมตัวแนะนำการค้นหาใหม่</t>
        </is>
      </c>
      <c r="L1881" s="3"/>
      <c r="M1881" t="inlineStr">
        <is>
          <t>1</t>
        </is>
      </c>
      <c r="N1881" t="inlineStr">
        <is>
          <t>Android</t>
        </is>
      </c>
      <c r="O1881"/>
    </row>
    <row r="1882" ht="12.75" customHeight="1">
      <c r="A1882" t="inlineStr">
        <is>
          <t>ผู้ใช้ iPhone สหรัฐฯ ยังจงรักภักดีต่อแบรนด์มากสุด แม้จะลดลงเล็กน้อย</t>
        </is>
      </c>
      <c r="B1882" t="inlineStr">
        <is>
          <t>Thitirath Kinaret</t>
        </is>
      </c>
      <c r="C1882" s="2">
        <v>45800</v>
      </c>
      <c r="D1882" s="2">
        <v>45800</v>
      </c>
      <c r="E1882" t="inlineStr">
        <is>
          <t>ปกติ</t>
        </is>
      </c>
      <c r="F1882" s="3" t="str">
        <f>=HYPERLINK("https://www.iphonemod.net/iphone-dominates-consumer-smartphone-brand-loyalty-usa-user-2025-cirp-report.html", "https://www.iphonemod.net/iphone-dominates-consumer-smartphone-brand-loyalty-usa-user-2025-cirp-report.html")</f>
        <v>https://www.iphonemod.net/iphone-dominates-consumer-smartphone-brand-loyalty-usa-user-2025-cirp-report.html</v>
      </c>
      <c r="G1882"/>
      <c r="H1882" t="inlineStr">
        <is>
          <t>Website, Pic Posts / Album</t>
        </is>
      </c>
      <c r="I1882" t="inlineStr">
        <is>
          <t>งานประจำวัน</t>
        </is>
      </c>
      <c r="J1882" t="inlineStr">
        <is>
          <t>Done</t>
        </is>
      </c>
      <c r="K1882"/>
      <c r="L1882" s="3" t="str">
        <f>=HYPERLINK("https://www.iphonemod.net/iphone-dominates-consumer-smartphone-brand-loyalty-usa-user-2025-cirp-report.html", "https://www.iphonemod.net/iphone-dominates-consumer-smartphone-brand-loyalty-usa-user-2025-cirp-report.html")</f>
        <v>https://www.iphonemod.net/iphone-dominates-consumer-smartphone-brand-loyalty-usa-user-2025-cirp-report.html</v>
      </c>
      <c r="M1882" t="inlineStr">
        <is>
          <t>1</t>
        </is>
      </c>
      <c r="N1882" t="inlineStr">
        <is>
          <t>Apple</t>
        </is>
      </c>
      <c r="O1882"/>
    </row>
    <row r="1883" ht="12.75" customHeight="1">
      <c r="A1883" t="inlineStr">
        <is>
          <t>OpenAI ซื้อกิจการ Startup ของ Jony Ive</t>
        </is>
      </c>
      <c r="B1883" t="inlineStr">
        <is>
          <t>Thitirath Kinaret</t>
        </is>
      </c>
      <c r="C1883" s="2">
        <v>45799</v>
      </c>
      <c r="D1883" s="2"/>
      <c r="E1883" t="inlineStr">
        <is>
          <t>ปกติ</t>
        </is>
      </c>
      <c r="F1883" s="3" t="str">
        <f>=HYPERLINK("https://www.macrumors.com/2025/05/21/openai-buys-jony-ive-ai-startup/", "https://www.macrumors.com/2025/05/21/openai-buys-jony-ive-ai-startup/")</f>
        <v>https://www.macrumors.com/2025/05/21/openai-buys-jony-ive-ai-startup/</v>
      </c>
      <c r="G1883"/>
      <c r="H1883" t="inlineStr">
        <is>
          <t>Website, Pic Posts / Album</t>
        </is>
      </c>
      <c r="I1883" t="inlineStr">
        <is>
          <t>งานประจำวัน</t>
        </is>
      </c>
      <c r="J1883" t="inlineStr">
        <is>
          <t>Done</t>
        </is>
      </c>
      <c r="K1883"/>
      <c r="L1883" s="3" t="str">
        <f>=HYPERLINK("https://www.iphonemod.net/open-ai-buys-io-jony-ive-startup.html", "https://www.iphonemod.net/open-ai-buys-io-jony-ive-startup.html")</f>
        <v>https://www.iphonemod.net/open-ai-buys-io-jony-ive-startup.html</v>
      </c>
      <c r="M1883" t="inlineStr">
        <is>
          <t>1</t>
        </is>
      </c>
      <c r="N1883" t="inlineStr">
        <is>
          <t>Tech</t>
        </is>
      </c>
      <c r="O1883"/>
    </row>
    <row r="1884" ht="12.75" customHeight="1">
      <c r="A1884" t="inlineStr">
        <is>
          <t>iPhone 7 Plus, iPhone 8, iPhone 8 Plus ถูกปรับสถานะเป็นผลิตภัณฑ์ "Vintage" แล้ว</t>
        </is>
      </c>
      <c r="B1884" t="inlineStr">
        <is>
          <t>Thitirath Kinaret</t>
        </is>
      </c>
      <c r="C1884" s="2">
        <v>45799</v>
      </c>
      <c r="D1884" s="2"/>
      <c r="E1884" t="inlineStr">
        <is>
          <t>ปกติ</t>
        </is>
      </c>
      <c r="F1884" s="3" t="str">
        <f>=HYPERLINK("https://www.iphonemod.net/iphone-7-plus-iphone-8-iphone-8-plus-vintage.html", "https://www.iphonemod.net/iphone-7-plus-iphone-8-iphone-8-plus-vintage.html")</f>
        <v>https://www.iphonemod.net/iphone-7-plus-iphone-8-iphone-8-plus-vintage.html</v>
      </c>
      <c r="G1884"/>
      <c r="H1884" t="inlineStr">
        <is>
          <t>Pic Posts / Album, Website</t>
        </is>
      </c>
      <c r="I1884" t="inlineStr">
        <is>
          <t>งานประจำวัน</t>
        </is>
      </c>
      <c r="J1884" t="inlineStr">
        <is>
          <t>Done</t>
        </is>
      </c>
      <c r="K1884"/>
      <c r="L1884" s="3"/>
      <c r="M1884" t="inlineStr">
        <is>
          <t>1</t>
        </is>
      </c>
      <c r="N1884" t="inlineStr">
        <is>
          <t>Apple</t>
        </is>
      </c>
      <c r="O1884"/>
    </row>
    <row r="1885" ht="12.75" customHeight="1">
      <c r="A1885" t="inlineStr">
        <is>
          <t>PR AIS สุขใจ เที่ยวไทย อุ่นใจทุกที่</t>
        </is>
      </c>
      <c r="B1885" t="inlineStr">
        <is>
          <t>Nattida Suriyodara,Sasithakan Sritonthip</t>
        </is>
      </c>
      <c r="C1885" s="2">
        <v>45799</v>
      </c>
      <c r="D1885" s="2"/>
      <c r="E1885" t="inlineStr">
        <is>
          <t>ปกติ</t>
        </is>
      </c>
      <c r="F1885" s="3"/>
      <c r="G1885" t="inlineStr">
        <is>
          <t>PR สุขใจ เที่ยวไทย อุ่นใจทุกที่.zip</t>
        </is>
      </c>
      <c r="H1885" t="inlineStr">
        <is>
          <t>Website</t>
        </is>
      </c>
      <c r="I1885" t="inlineStr">
        <is>
          <t>งานลูกค้า</t>
        </is>
      </c>
      <c r="J1885" t="inlineStr">
        <is>
          <t>Done</t>
        </is>
      </c>
      <c r="K1885"/>
      <c r="L1885" s="3" t="str">
        <f>=HYPERLINK("https://www.facebook.com/share/r/1UvnmY2zV6/", "https://www.facebook.com/share/r/1UvnmY2zV6/")</f>
        <v>https://www.facebook.com/share/r/1UvnmY2zV6/</v>
      </c>
      <c r="M1885" t="inlineStr">
        <is>
          <t>1</t>
        </is>
      </c>
      <c r="N1885" t="inlineStr">
        <is>
          <t>ทั่วไป</t>
        </is>
      </c>
      <c r="O1885"/>
    </row>
    <row r="1886" ht="12.75" customHeight="1">
      <c r="A1886" t="inlineStr">
        <is>
          <t>AIS เปิดตัว “AiCAM”</t>
        </is>
      </c>
      <c r="B1886" t="inlineStr">
        <is>
          <t>Thitirath Kinaret</t>
        </is>
      </c>
      <c r="C1886" s="2">
        <v>45799</v>
      </c>
      <c r="D1886" s="2"/>
      <c r="E1886" t="inlineStr">
        <is>
          <t>ปกติ</t>
        </is>
      </c>
      <c r="F1886" s="3"/>
      <c r="G1886"/>
      <c r="H1886" t="inlineStr">
        <is>
          <t>Pic Posts / Album</t>
        </is>
      </c>
      <c r="I1886" t="inlineStr">
        <is>
          <t>งานลูกค้า</t>
        </is>
      </c>
      <c r="J1886" t="inlineStr">
        <is>
          <t>Done</t>
        </is>
      </c>
      <c r="K1886"/>
      <c r="L1886" s="3"/>
      <c r="M1886" t="inlineStr">
        <is>
          <t>1</t>
        </is>
      </c>
      <c r="N1886" t="inlineStr">
        <is>
          <t>ทั่วไป</t>
        </is>
      </c>
      <c r="O1886"/>
    </row>
    <row r="1887" ht="12.75" customHeight="1">
      <c r="A1887" t="inlineStr">
        <is>
          <t>หลุด Galaxy Watch 8 Classic</t>
        </is>
      </c>
      <c r="B1887" t="inlineStr">
        <is>
          <t>Saktaphat Kordjan</t>
        </is>
      </c>
      <c r="C1887" s="2">
        <v>45799</v>
      </c>
      <c r="D1887" s="2">
        <v>45799</v>
      </c>
      <c r="E1887" t="inlineStr">
        <is>
          <t>ปกติ</t>
        </is>
      </c>
      <c r="F1887" s="3" t="str">
        <f>=HYPERLINK("https://www.iphonemod.net/samsung-galaxy-watch-8-classic-bezel-leaked-unpacked-2025.html", "https://www.iphonemod.net/samsung-galaxy-watch-8-classic-bezel-leaked-unpacked-2025.html")</f>
        <v>https://www.iphonemod.net/samsung-galaxy-watch-8-classic-bezel-leaked-unpacked-2025.html</v>
      </c>
      <c r="G1887"/>
      <c r="H1887" t="inlineStr">
        <is>
          <t>Website</t>
        </is>
      </c>
      <c r="I1887" t="inlineStr">
        <is>
          <t>งานประจำวัน</t>
        </is>
      </c>
      <c r="J1887" t="inlineStr">
        <is>
          <t>Done</t>
        </is>
      </c>
      <c r="K1887" t="inlineStr">
        <is>
          <t>ข้อมูลหลุด Galaxy Watch 8 Classic</t>
        </is>
      </c>
      <c r="L1887" s="3"/>
      <c r="M1887" t="inlineStr">
        <is>
          <t>1</t>
        </is>
      </c>
      <c r="N1887" t="inlineStr">
        <is>
          <t>Android</t>
        </is>
      </c>
      <c r="O1887"/>
    </row>
    <row r="1888" ht="12.75" customHeight="1">
      <c r="A1888" t="inlineStr">
        <is>
          <t>AirPods ยังแข็งแกร่ง ขายดีต่อเนื่องในปี 2025</t>
        </is>
      </c>
      <c r="B1888" t="inlineStr">
        <is>
          <t>Thitirath Kinaret</t>
        </is>
      </c>
      <c r="C1888" s="2">
        <v>45799</v>
      </c>
      <c r="D1888" s="2"/>
      <c r="E1888" t="inlineStr">
        <is>
          <t>ปกติ</t>
        </is>
      </c>
      <c r="F1888" s="3" t="str">
        <f>=HYPERLINK("https://www.macrumors.com/2025/05/21/airpods-are-still-untouchable-in-2025/", "https://www.macrumors.com/2025/05/21/airpods-are-still-untouchable-in-2025/")</f>
        <v>https://www.macrumors.com/2025/05/21/airpods-are-still-untouchable-in-2025/</v>
      </c>
      <c r="G1888"/>
      <c r="H1888" t="inlineStr">
        <is>
          <t>Website, Pic Posts / Album</t>
        </is>
      </c>
      <c r="I1888" t="inlineStr">
        <is>
          <t>งานประจำวัน</t>
        </is>
      </c>
      <c r="J1888" t="inlineStr">
        <is>
          <t>Done</t>
        </is>
      </c>
      <c r="K1888"/>
      <c r="L1888" s="3" t="str">
        <f>=HYPERLINK("https://www.iphonemod.net/airpods-apple-tws-market-q1-2025-report.html", "https://www.iphonemod.net/airpods-apple-tws-market-q1-2025-report.html")</f>
        <v>https://www.iphonemod.net/airpods-apple-tws-market-q1-2025-report.html</v>
      </c>
      <c r="M1888" t="inlineStr">
        <is>
          <t>1</t>
        </is>
      </c>
      <c r="N1888" t="inlineStr">
        <is>
          <t>Apple</t>
        </is>
      </c>
      <c r="O1888"/>
    </row>
    <row r="1889" ht="12.75" customHeight="1">
      <c r="A1889" t="inlineStr">
        <is>
          <t xml:space="preserve">ยืนยัน Project Moohan เปิดตัวครึ่งหลังปี 2025 </t>
        </is>
      </c>
      <c r="B1889" t="inlineStr">
        <is>
          <t>Saktaphat Kordjan</t>
        </is>
      </c>
      <c r="C1889" s="2">
        <v>45799</v>
      </c>
      <c r="D1889" s="2"/>
      <c r="E1889" t="inlineStr">
        <is>
          <t>ปกติ</t>
        </is>
      </c>
      <c r="F1889" s="3"/>
      <c r="G1889"/>
      <c r="H1889" t="inlineStr">
        <is>
          <t>Website</t>
        </is>
      </c>
      <c r="I1889" t="inlineStr">
        <is>
          <t>งานประจำวัน</t>
        </is>
      </c>
      <c r="J1889" t="inlineStr">
        <is>
          <t>Done</t>
        </is>
      </c>
      <c r="K1889" t="inlineStr">
        <is>
          <t xml:space="preserve">รายละเอียด Project Moohan แว่น VR ของ Samsung </t>
        </is>
      </c>
      <c r="L1889" s="3" t="str">
        <f>=HYPERLINK("https://www.iphonemod.net/samsung-project-moohan-release-after-this-year-2025.html", "https://www.iphonemod.net/samsung-project-moohan-release-after-this-year-2025.html")</f>
        <v>https://www.iphonemod.net/samsung-project-moohan-release-after-this-year-2025.html</v>
      </c>
      <c r="M1889" t="inlineStr">
        <is>
          <t>1</t>
        </is>
      </c>
      <c r="N1889" t="inlineStr">
        <is>
          <t>EV</t>
        </is>
      </c>
      <c r="O1889"/>
    </row>
    <row r="1890" ht="12.75" customHeight="1">
      <c r="A1890" t="inlineStr">
        <is>
          <t>คลิปสั้น Google Meet Live Translate</t>
        </is>
      </c>
      <c r="B1890" t="inlineStr">
        <is>
          <t>Nattida Suriyodara,Sasithakan Sritonthip</t>
        </is>
      </c>
      <c r="C1890" s="2">
        <v>45798</v>
      </c>
      <c r="D1890" s="2">
        <v>45799</v>
      </c>
      <c r="E1890" t="inlineStr">
        <is>
          <t>ปกติ</t>
        </is>
      </c>
      <c r="F1890" s="3" t="str">
        <f>=HYPERLINK("https://www.instagram.com/verge?igsh=YWtpYmJkcWhwMDl1", "https://www.instagram.com/verge?igsh=YWtpYmJkcWhwMDl1")</f>
        <v>https://www.instagram.com/verge?igsh=YWtpYmJkcWhwMDl1</v>
      </c>
      <c r="G1890"/>
      <c r="H1890" t="inlineStr">
        <is>
          <t>Shorts</t>
        </is>
      </c>
      <c r="I1890" t="inlineStr">
        <is>
          <t>งานประจำวัน</t>
        </is>
      </c>
      <c r="J1890" t="inlineStr">
        <is>
          <t>Done</t>
        </is>
      </c>
      <c r="K1890" t="inlineStr">
        <is>
          <t>ทำคลิปสั้น Google AI แยกออกมาฟีเจอร์ละคลิป ดูตัวอย่างใน IG ลิงก์แนบ</t>
        </is>
      </c>
      <c r="L1890" s="3" t="str">
        <f>=HYPERLINK("https://www.facebook.com/share/r/16TVZY9HhE/", "https://www.facebook.com/share/r/16TVZY9HhE/")</f>
        <v>https://www.facebook.com/share/r/16TVZY9HhE/</v>
      </c>
      <c r="M1890" t="inlineStr">
        <is>
          <t>1</t>
        </is>
      </c>
      <c r="N1890" t="inlineStr">
        <is>
          <t>Android</t>
        </is>
      </c>
      <c r="O1890"/>
    </row>
    <row r="1891" ht="12.75" customHeight="1">
      <c r="A1891" t="inlineStr">
        <is>
          <t>วิธีตั้งค่า Google Translate ให้เป็นแอปแปลภาษาเริ่มต้นบน iPhone</t>
        </is>
      </c>
      <c r="B1891" t="inlineStr">
        <is>
          <t>Nattida Suriyodara,Sasithakan Sritonthip</t>
        </is>
      </c>
      <c r="C1891" s="2">
        <v>45798</v>
      </c>
      <c r="D1891" s="2">
        <v>45798</v>
      </c>
      <c r="E1891" t="inlineStr">
        <is>
          <t>ปกติ</t>
        </is>
      </c>
      <c r="F1891" s="3"/>
      <c r="G1891"/>
      <c r="H1891" t="inlineStr">
        <is>
          <t>YouTube</t>
        </is>
      </c>
      <c r="I1891" t="inlineStr">
        <is>
          <t>งานประจำวัน</t>
        </is>
      </c>
      <c r="J1891" t="inlineStr">
        <is>
          <t>Done</t>
        </is>
      </c>
      <c r="K1891"/>
      <c r="L1891" s="3"/>
      <c r="M1891" t="inlineStr">
        <is>
          <t>1</t>
        </is>
      </c>
      <c r="N1891" t="inlineStr">
        <is>
          <t>Apple</t>
        </is>
      </c>
      <c r="O1891"/>
    </row>
    <row r="1892" ht="12.75" customHeight="1">
      <c r="A1892" t="inlineStr">
        <is>
          <t>รวม x ฟีเจอร์น่าสนใจใน Google AI</t>
        </is>
      </c>
      <c r="B1892" t="inlineStr">
        <is>
          <t>Nattida Suriyodara</t>
        </is>
      </c>
      <c r="C1892" s="2">
        <v>45798</v>
      </c>
      <c r="D1892" s="2"/>
      <c r="E1892" t="inlineStr">
        <is>
          <t>ด่วน!</t>
        </is>
      </c>
      <c r="F1892" s="3" t="str">
        <f>=HYPERLINK("https://ai.google", "https://ai.google")</f>
        <v>https://ai.google</v>
      </c>
      <c r="G1892"/>
      <c r="H1892" t="inlineStr">
        <is>
          <t>Website, Shorts</t>
        </is>
      </c>
      <c r="I1892" t="inlineStr">
        <is>
          <t>งานประจำวัน</t>
        </is>
      </c>
      <c r="J1892" t="inlineStr">
        <is>
          <t>Done</t>
        </is>
      </c>
      <c r="K1892"/>
      <c r="L1892" s="3"/>
      <c r="M1892" t="inlineStr">
        <is>
          <t>1</t>
        </is>
      </c>
      <c r="N1892" t="inlineStr">
        <is>
          <t>AI</t>
        </is>
      </c>
      <c r="O1892"/>
    </row>
    <row r="1893" ht="12.75" customHeight="1">
      <c r="A1893" t="inlineStr">
        <is>
          <t>พูดคุยหลังเปิดตัว Google I/O 2025</t>
        </is>
      </c>
      <c r="B1893" t="inlineStr">
        <is>
          <t>Nattida Suriyodara,Saktaphat Kordjan</t>
        </is>
      </c>
      <c r="C1893" s="2">
        <v>45798</v>
      </c>
      <c r="D1893" s="2">
        <v>45800</v>
      </c>
      <c r="E1893" t="inlineStr">
        <is>
          <t>ปกติ</t>
        </is>
      </c>
      <c r="F1893" s="3" t="str">
        <f>=HYPERLINK("https://www.youtube.com/watch?v=o8NiE3XMPrM&amp;t=2s", "https://www.youtube.com/watch?v=o8NiE3XMPrM&amp;t=2s")</f>
        <v>https://www.youtube.com/watch?v=o8NiE3XMPrM&amp;t=2s</v>
      </c>
      <c r="G1893"/>
      <c r="H1893" t="inlineStr">
        <is>
          <t>YouTube</t>
        </is>
      </c>
      <c r="I1893" t="inlineStr">
        <is>
          <t>งานประจำวัน</t>
        </is>
      </c>
      <c r="J1893" t="inlineStr">
        <is>
          <t>Done</t>
        </is>
      </c>
      <c r="K1893" t="inlineStr">
        <is>
          <t>ทำคลิปคุยสองคนว่ามีอะไรน่าสนใจบ้าง</t>
        </is>
      </c>
      <c r="L1893" s="3"/>
      <c r="M1893" t="inlineStr">
        <is>
          <t>1</t>
        </is>
      </c>
      <c r="N1893" t="inlineStr">
        <is>
          <t>Android</t>
        </is>
      </c>
      <c r="O1893"/>
    </row>
    <row r="1894" ht="12.75" customHeight="1">
      <c r="A1894" t="inlineStr">
        <is>
          <t>คลิปสั้น สิ่งที่น่าสนใจในงาน Google I/O 2025</t>
        </is>
      </c>
      <c r="B1894" t="inlineStr">
        <is>
          <t>Sasithakan Sritonthip</t>
        </is>
      </c>
      <c r="C1894" s="2">
        <v>45798</v>
      </c>
      <c r="D1894" s="2"/>
      <c r="E1894" t="inlineStr">
        <is>
          <t>ปกติ</t>
        </is>
      </c>
      <c r="F1894" s="3" t="str">
        <f>=HYPERLINK("https://www.iphonemod.net/google-i-o-2025-new-ai-features-android-xr.html", "https://www.iphonemod.net/google-i-o-2025-new-ai-features-android-xr.html")</f>
        <v>https://www.iphonemod.net/google-i-o-2025-new-ai-features-android-xr.html</v>
      </c>
      <c r="G1894"/>
      <c r="H1894" t="inlineStr">
        <is>
          <t>Shorts</t>
        </is>
      </c>
      <c r="I1894" t="inlineStr">
        <is>
          <t>งานประจำวัน</t>
        </is>
      </c>
      <c r="J1894" t="inlineStr">
        <is>
          <t>Done</t>
        </is>
      </c>
      <c r="K1894"/>
      <c r="L1894" s="3" t="str">
        <f>=HYPERLINK("https://www.youtube.com/shorts/YMXMS-z1lLE", "https://www.youtube.com/shorts/YMXMS-z1lLE")</f>
        <v>https://www.youtube.com/shorts/YMXMS-z1lLE</v>
      </c>
      <c r="M1894" t="inlineStr">
        <is>
          <t>1</t>
        </is>
      </c>
      <c r="N1894" t="inlineStr">
        <is>
          <t>Android</t>
        </is>
      </c>
      <c r="O1894"/>
    </row>
    <row r="1895" ht="12.75" customHeight="1">
      <c r="A1895" t="inlineStr">
        <is>
          <t xml:space="preserve">สิ่งน่าสนใจในงาน I/O 2025 </t>
        </is>
      </c>
      <c r="B1895" t="inlineStr">
        <is>
          <t>Saktaphat Kordjan</t>
        </is>
      </c>
      <c r="C1895" s="2">
        <v>45798</v>
      </c>
      <c r="D1895" s="2">
        <v>45798</v>
      </c>
      <c r="E1895" t="inlineStr">
        <is>
          <t>ปกติ</t>
        </is>
      </c>
      <c r="F1895" s="3" t="str">
        <f>=HYPERLINK("https://www.iphonemod.net/google-i-o-2025-new-ai-features-android-xr.html", "https://www.iphonemod.net/google-i-o-2025-new-ai-features-android-xr.html")</f>
        <v>https://www.iphonemod.net/google-i-o-2025-new-ai-features-android-xr.html</v>
      </c>
      <c r="G1895"/>
      <c r="H1895" t="inlineStr">
        <is>
          <t>Website, Shorts</t>
        </is>
      </c>
      <c r="I1895" t="inlineStr">
        <is>
          <t>งานประจำวัน</t>
        </is>
      </c>
      <c r="J1895" t="inlineStr">
        <is>
          <t>Done</t>
        </is>
      </c>
      <c r="K1895" t="inlineStr">
        <is>
          <t xml:space="preserve">สรุปงาน Google I/O 2025  </t>
        </is>
      </c>
      <c r="L1895" s="3"/>
      <c r="M1895" t="inlineStr">
        <is>
          <t>1</t>
        </is>
      </c>
      <c r="N1895" t="inlineStr">
        <is>
          <t>Android, AI</t>
        </is>
      </c>
      <c r="O1895"/>
    </row>
    <row r="1896" ht="12.75" customHeight="1">
      <c r="A1896" t="inlineStr">
        <is>
          <t>Nothing Phone (3) เตรียมเปิดตัว ก.ค. นี้</t>
        </is>
      </c>
      <c r="B1896" t="inlineStr">
        <is>
          <t>Saktaphat Kordjan</t>
        </is>
      </c>
      <c r="C1896" s="2">
        <v>45798</v>
      </c>
      <c r="D1896" s="2">
        <v>45798</v>
      </c>
      <c r="E1896" t="inlineStr">
        <is>
          <t>ปกติ</t>
        </is>
      </c>
      <c r="F1896" s="3" t="str">
        <f>=HYPERLINK("https://www.iphonemod.net/nothing-phone-3-prepare-release-july-2025.html", "https://www.iphonemod.net/nothing-phone-3-prepare-release-july-2025.html")</f>
        <v>https://www.iphonemod.net/nothing-phone-3-prepare-release-july-2025.html</v>
      </c>
      <c r="G1896"/>
      <c r="H1896" t="inlineStr">
        <is>
          <t>Website</t>
        </is>
      </c>
      <c r="I1896" t="inlineStr">
        <is>
          <t>งานประจำวัน</t>
        </is>
      </c>
      <c r="J1896" t="inlineStr">
        <is>
          <t>Done</t>
        </is>
      </c>
      <c r="K1896" t="inlineStr">
        <is>
          <t xml:space="preserve">สรุปข้อมูลเปิดตัวNothing Phone (3) </t>
        </is>
      </c>
      <c r="L1896" s="3"/>
      <c r="M1896" t="inlineStr">
        <is>
          <t>1</t>
        </is>
      </c>
      <c r="N1896" t="inlineStr">
        <is>
          <t>Android</t>
        </is>
      </c>
      <c r="O1896"/>
    </row>
    <row r="1897" ht="12.75" customHeight="1">
      <c r="A1897" t="inlineStr">
        <is>
          <t>Studio 7 Freshy Fun Fest</t>
        </is>
      </c>
      <c r="B1897" t="inlineStr">
        <is>
          <t>Thitirath Kinaret</t>
        </is>
      </c>
      <c r="C1897" s="2">
        <v>45798</v>
      </c>
      <c r="D1897" s="2"/>
      <c r="E1897" t="inlineStr">
        <is>
          <t>ปกติ</t>
        </is>
      </c>
      <c r="F1897" s="3" t="str">
        <f>=HYPERLINK("https://docs.google.com/presentation/d/1Cu4ELT33aLwIEVNmLsfEVfhVQ6KkvtEvLzb-s1AItWQ/edit?slide=id.g31253641a66_0_18#slide=id.g31253641a66_0_18", "https://docs.google.com/presentation/d/1Cu4ELT33aLwIEVNmLsfEVfhVQ6KkvtEvLzb-s1AItWQ/edit?slide=id.g31253641a66_0_18#slide=id.g31253641a66_0_18")</f>
        <v>https://docs.google.com/presentation/d/1Cu4ELT33aLwIEVNmLsfEVfhVQ6KkvtEvLzb-s1AItWQ/edit?slide=id.g31253641a66_0_18#slide=id.g31253641a66_0_18</v>
      </c>
      <c r="G1897"/>
      <c r="H1897" t="inlineStr">
        <is>
          <t>Pic Posts / Album</t>
        </is>
      </c>
      <c r="I1897" t="inlineStr">
        <is>
          <t>งานลูกค้า</t>
        </is>
      </c>
      <c r="J1897" t="inlineStr">
        <is>
          <t>Done</t>
        </is>
      </c>
      <c r="K1897"/>
      <c r="L1897" s="3" t="str">
        <f>=HYPERLINK("https://www.facebook.com/iPhonemod/posts/pfbid02rJ94X29f61J2xo8ujiGswLrPDDsQNDHgZt6B86RUteh3d1jAJ5CLESEMFNBgnCHsl", "https://www.facebook.com/iPhonemod/posts/pfbid02rJ94X29f61J2xo8ujiGswLrPDDsQNDHgZt6B86RUteh3d1jAJ5CLESEMFNBgnCHsl")</f>
        <v>https://www.facebook.com/iPhonemod/posts/pfbid02rJ94X29f61J2xo8ujiGswLrPDDsQNDHgZt6B86RUteh3d1jAJ5CLESEMFNBgnCHsl</v>
      </c>
      <c r="M1897" t="inlineStr">
        <is>
          <t>1</t>
        </is>
      </c>
      <c r="N1897" t="inlineStr">
        <is>
          <t>ทั่วไป</t>
        </is>
      </c>
      <c r="O1897"/>
    </row>
    <row r="1898" ht="12.75" customHeight="1">
      <c r="A1898" t="inlineStr">
        <is>
          <t>คลิปสั้น Tablet แนะนำ นักเรียน นักศึกษา</t>
        </is>
      </c>
      <c r="B1898" t="inlineStr">
        <is>
          <t>Sasithakan Sritonthip,Saktaphat Kordjan</t>
        </is>
      </c>
      <c r="C1898" s="2">
        <v>45797</v>
      </c>
      <c r="D1898" s="2">
        <v>45798</v>
      </c>
      <c r="E1898" t="inlineStr">
        <is>
          <t>ปกติ</t>
        </is>
      </c>
      <c r="F1898" s="3"/>
      <c r="G1898"/>
      <c r="H1898" t="inlineStr">
        <is>
          <t>Shorts</t>
        </is>
      </c>
      <c r="I1898" t="inlineStr">
        <is>
          <t>งานประจำวัน</t>
        </is>
      </c>
      <c r="J1898" t="inlineStr">
        <is>
          <t>Done</t>
        </is>
      </c>
      <c r="K1898"/>
      <c r="L1898" s="3" t="str">
        <f>=HYPERLINK("https://www.youtube.com/shorts/i9E_uzlixEY", "https://www.youtube.com/shorts/i9E_uzlixEY")</f>
        <v>https://www.youtube.com/shorts/i9E_uzlixEY</v>
      </c>
      <c r="M1898" t="inlineStr">
        <is>
          <t>1</t>
        </is>
      </c>
      <c r="N1898" t="inlineStr">
        <is>
          <t>Android</t>
        </is>
      </c>
      <c r="O1898"/>
    </row>
  </sheetData>
  <dataValidations count="2">
    <dataValidation allowBlank="false" sqref="E2:E1897" type="list">
      <formula1>"ปกติ,ด่วน!,ด่วนมาก! "</formula1>
    </dataValidation>
    <dataValidation allowBlank="false" sqref="J2:J1897" type="list">
      <formula1>"To-Do,On Process,Draft,Done"</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